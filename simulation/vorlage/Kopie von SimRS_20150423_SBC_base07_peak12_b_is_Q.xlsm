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120" yWindow="72" windowWidth="28512" windowHeight="11316" activeTab="1"/>
  </bookViews>
  <sheets>
    <sheet name="SBC" sheetId="1" r:id="rId1"/>
    <sheet name="Simulation" sheetId="2" r:id="rId2"/>
    <sheet name="Input" sheetId="22" r:id="rId3"/>
    <sheet name="L^Q" sheetId="11" r:id="rId4"/>
    <sheet name="L^S" sheetId="12" r:id="rId5"/>
    <sheet name="L^Q, L^S" sheetId="13" r:id="rId6"/>
    <sheet name="X" sheetId="15" r:id="rId7"/>
    <sheet name="D" sheetId="16" r:id="rId8"/>
    <sheet name="X, D" sheetId="14" r:id="rId9"/>
    <sheet name="X (kum.)" sheetId="19" r:id="rId10"/>
    <sheet name="D (kum.)" sheetId="18" r:id="rId11"/>
    <sheet name="I" sheetId="17" r:id="rId12"/>
    <sheet name="rho" sheetId="21" r:id="rId13"/>
  </sheets>
  <calcPr calcId="145621"/>
</workbook>
</file>

<file path=xl/calcChain.xml><?xml version="1.0" encoding="utf-8"?>
<calcChain xmlns="http://schemas.openxmlformats.org/spreadsheetml/2006/main">
  <c r="AQ4" i="2" l="1"/>
  <c r="AQ5" i="2"/>
  <c r="AQ6" i="2"/>
  <c r="AQ7" i="2"/>
  <c r="AQ8" i="2"/>
  <c r="AQ9" i="2"/>
  <c r="AQ10" i="2"/>
  <c r="AQ11" i="2"/>
  <c r="AQ12" i="2"/>
  <c r="AQ13" i="2"/>
  <c r="AQ14" i="2"/>
  <c r="AQ15" i="2"/>
  <c r="AQ16" i="2"/>
  <c r="AQ17" i="2"/>
  <c r="AQ18" i="2"/>
  <c r="AQ19" i="2"/>
  <c r="AQ20" i="2"/>
  <c r="AQ21" i="2"/>
  <c r="AQ22" i="2"/>
  <c r="AQ23" i="2"/>
  <c r="AQ24" i="2"/>
  <c r="AQ25" i="2"/>
  <c r="AQ26" i="2"/>
  <c r="AQ27" i="2"/>
  <c r="AQ28" i="2"/>
  <c r="AQ29" i="2"/>
  <c r="AQ30" i="2"/>
  <c r="AQ31" i="2"/>
  <c r="AQ32" i="2"/>
  <c r="AQ33" i="2"/>
  <c r="AQ34" i="2"/>
  <c r="AQ35" i="2"/>
  <c r="AQ36" i="2"/>
  <c r="AQ37" i="2"/>
  <c r="AQ38" i="2"/>
  <c r="AQ39" i="2"/>
  <c r="AQ40" i="2"/>
  <c r="AQ41" i="2"/>
  <c r="AQ42" i="2"/>
  <c r="AQ43" i="2"/>
  <c r="AQ44" i="2"/>
  <c r="AQ45" i="2"/>
  <c r="AQ46" i="2"/>
  <c r="AQ47" i="2"/>
  <c r="AQ48" i="2"/>
  <c r="AQ49" i="2"/>
  <c r="AQ50" i="2"/>
  <c r="AQ51" i="2"/>
  <c r="AQ52" i="2"/>
  <c r="AQ53" i="2"/>
  <c r="AQ54" i="2"/>
  <c r="AQ55" i="2"/>
  <c r="AQ56" i="2"/>
  <c r="AQ57" i="2"/>
  <c r="AQ58" i="2"/>
  <c r="AQ59" i="2"/>
  <c r="AQ60" i="2"/>
  <c r="AQ61" i="2"/>
  <c r="AQ62" i="2"/>
  <c r="AQ63" i="2"/>
  <c r="AQ64" i="2"/>
  <c r="AQ65" i="2"/>
  <c r="AQ66" i="2"/>
  <c r="AQ67" i="2"/>
  <c r="AQ68" i="2"/>
  <c r="AQ69" i="2"/>
  <c r="AQ70" i="2"/>
  <c r="AQ71" i="2"/>
  <c r="AQ72" i="2"/>
  <c r="AQ73" i="2"/>
  <c r="AQ74" i="2"/>
  <c r="AQ75" i="2"/>
  <c r="AQ76" i="2"/>
  <c r="AQ77" i="2"/>
  <c r="AQ78" i="2"/>
  <c r="AQ79" i="2"/>
  <c r="AQ80" i="2"/>
  <c r="AQ81" i="2"/>
  <c r="AQ82" i="2"/>
  <c r="AQ83" i="2"/>
  <c r="AQ84" i="2"/>
  <c r="AQ85" i="2"/>
  <c r="AQ86" i="2"/>
  <c r="AQ87" i="2"/>
  <c r="AQ88" i="2"/>
  <c r="AQ89" i="2"/>
  <c r="AQ90" i="2"/>
  <c r="AQ91" i="2"/>
  <c r="AQ92" i="2"/>
  <c r="AQ93" i="2"/>
  <c r="AQ94" i="2"/>
  <c r="AQ95" i="2"/>
  <c r="AQ96" i="2"/>
  <c r="AQ97" i="2"/>
  <c r="AQ98" i="2"/>
  <c r="AQ99" i="2"/>
  <c r="AQ100" i="2"/>
  <c r="AQ101" i="2"/>
  <c r="AQ102" i="2"/>
  <c r="AQ3" i="2"/>
  <c r="AM16" i="2"/>
  <c r="AM17" i="2"/>
  <c r="AM18" i="2"/>
  <c r="AM19" i="2"/>
  <c r="AM20" i="2"/>
  <c r="AN20" i="2" s="1"/>
  <c r="AM21" i="2"/>
  <c r="AN21" i="2" s="1"/>
  <c r="AM22" i="2"/>
  <c r="AM23" i="2"/>
  <c r="AM24" i="2"/>
  <c r="AM25" i="2"/>
  <c r="AM26" i="2"/>
  <c r="AM27" i="2"/>
  <c r="AM28" i="2"/>
  <c r="AM29" i="2"/>
  <c r="AM30" i="2"/>
  <c r="AM31" i="2"/>
  <c r="AM32" i="2"/>
  <c r="AM33" i="2"/>
  <c r="AM34" i="2"/>
  <c r="AM35" i="2"/>
  <c r="AM36" i="2"/>
  <c r="AN36" i="2" s="1"/>
  <c r="AM37" i="2"/>
  <c r="AN37" i="2" s="1"/>
  <c r="AM38" i="2"/>
  <c r="AM39" i="2"/>
  <c r="AM40" i="2"/>
  <c r="AM41" i="2"/>
  <c r="AM42" i="2"/>
  <c r="AM43" i="2"/>
  <c r="AM44" i="2"/>
  <c r="AN44" i="2" s="1"/>
  <c r="AM45" i="2"/>
  <c r="AN45" i="2" s="1"/>
  <c r="AM46" i="2"/>
  <c r="AM47" i="2"/>
  <c r="AN47" i="2" s="1"/>
  <c r="AM48" i="2"/>
  <c r="AM49" i="2"/>
  <c r="AM50" i="2"/>
  <c r="AM51" i="2"/>
  <c r="AM52" i="2"/>
  <c r="AN52" i="2" s="1"/>
  <c r="AM53" i="2"/>
  <c r="AN53" i="2" s="1"/>
  <c r="AM54" i="2"/>
  <c r="AM55" i="2"/>
  <c r="AN55" i="2" s="1"/>
  <c r="AM56" i="2"/>
  <c r="AM57" i="2"/>
  <c r="AM58" i="2"/>
  <c r="AM59" i="2"/>
  <c r="AM60" i="2"/>
  <c r="AM61" i="2"/>
  <c r="AM62" i="2"/>
  <c r="AM63" i="2"/>
  <c r="AN63" i="2" s="1"/>
  <c r="AM64" i="2"/>
  <c r="AM65" i="2"/>
  <c r="AM66" i="2"/>
  <c r="AM67" i="2"/>
  <c r="AM68" i="2"/>
  <c r="AN68" i="2" s="1"/>
  <c r="AM69" i="2"/>
  <c r="AN69" i="2" s="1"/>
  <c r="AM70" i="2"/>
  <c r="AM71" i="2"/>
  <c r="AN71" i="2" s="1"/>
  <c r="AM72" i="2"/>
  <c r="AM73" i="2"/>
  <c r="AM74" i="2"/>
  <c r="AM75" i="2"/>
  <c r="AM76" i="2"/>
  <c r="AM77" i="2"/>
  <c r="AN77" i="2" s="1"/>
  <c r="AM78" i="2"/>
  <c r="AM79" i="2"/>
  <c r="AN79" i="2" s="1"/>
  <c r="AM80" i="2"/>
  <c r="AM81" i="2"/>
  <c r="AM82" i="2"/>
  <c r="AM83" i="2"/>
  <c r="AM84" i="2"/>
  <c r="AN84" i="2" s="1"/>
  <c r="AM85" i="2"/>
  <c r="AM86" i="2"/>
  <c r="AN86" i="2" s="1"/>
  <c r="AM87" i="2"/>
  <c r="AN87" i="2" s="1"/>
  <c r="AM88" i="2"/>
  <c r="AM89" i="2"/>
  <c r="AM90" i="2"/>
  <c r="AM91" i="2"/>
  <c r="AM92" i="2"/>
  <c r="AM93" i="2"/>
  <c r="AM94" i="2"/>
  <c r="AM95" i="2"/>
  <c r="AN95" i="2" s="1"/>
  <c r="AM96" i="2"/>
  <c r="AM97" i="2"/>
  <c r="AM98" i="2"/>
  <c r="AM99" i="2"/>
  <c r="AM100" i="2"/>
  <c r="AN100" i="2" s="1"/>
  <c r="AM101" i="2"/>
  <c r="AM102" i="2"/>
  <c r="AM3" i="2"/>
  <c r="AM4" i="2"/>
  <c r="AM5" i="2"/>
  <c r="AM6" i="2"/>
  <c r="AM7" i="2"/>
  <c r="AN7" i="2" s="1"/>
  <c r="AM8" i="2"/>
  <c r="AM9" i="2"/>
  <c r="AM10" i="2"/>
  <c r="AM11" i="2"/>
  <c r="AM12" i="2"/>
  <c r="AM13" i="2"/>
  <c r="AM14" i="2"/>
  <c r="AN14" i="2" s="1"/>
  <c r="AM15" i="2"/>
  <c r="AH4" i="2"/>
  <c r="AH5" i="2"/>
  <c r="AH6" i="2"/>
  <c r="AH7" i="2"/>
  <c r="AH8" i="2"/>
  <c r="AH9" i="2"/>
  <c r="AH10" i="2"/>
  <c r="AH11" i="2"/>
  <c r="AH12" i="2"/>
  <c r="AH13" i="2"/>
  <c r="AH14" i="2"/>
  <c r="AH15" i="2"/>
  <c r="AH16" i="2"/>
  <c r="AH17" i="2"/>
  <c r="AH18" i="2"/>
  <c r="AH19" i="2"/>
  <c r="AH20" i="2"/>
  <c r="AH21" i="2"/>
  <c r="AH22" i="2"/>
  <c r="AH23" i="2"/>
  <c r="AH24" i="2"/>
  <c r="AH25" i="2"/>
  <c r="AH26" i="2"/>
  <c r="AH27" i="2"/>
  <c r="AH28" i="2"/>
  <c r="AH29" i="2"/>
  <c r="AH30" i="2"/>
  <c r="AH31" i="2"/>
  <c r="AH32" i="2"/>
  <c r="AH33" i="2"/>
  <c r="AH34" i="2"/>
  <c r="AH35" i="2"/>
  <c r="AH36" i="2"/>
  <c r="AH37" i="2"/>
  <c r="AH38" i="2"/>
  <c r="AH39" i="2"/>
  <c r="AH40" i="2"/>
  <c r="AH41" i="2"/>
  <c r="AH42" i="2"/>
  <c r="AH43" i="2"/>
  <c r="AH44" i="2"/>
  <c r="AH45" i="2"/>
  <c r="AH46" i="2"/>
  <c r="AH47" i="2"/>
  <c r="AH48" i="2"/>
  <c r="AH49" i="2"/>
  <c r="AH50" i="2"/>
  <c r="AH51" i="2"/>
  <c r="AH52" i="2"/>
  <c r="AH53" i="2"/>
  <c r="AH54" i="2"/>
  <c r="AH55" i="2"/>
  <c r="AH56" i="2"/>
  <c r="AH57" i="2"/>
  <c r="AH58" i="2"/>
  <c r="AH59" i="2"/>
  <c r="AH60" i="2"/>
  <c r="AH61" i="2"/>
  <c r="AH62" i="2"/>
  <c r="AH63" i="2"/>
  <c r="AH64" i="2"/>
  <c r="AH65" i="2"/>
  <c r="AH66" i="2"/>
  <c r="AH67" i="2"/>
  <c r="AH68" i="2"/>
  <c r="AH69" i="2"/>
  <c r="AH70" i="2"/>
  <c r="AH71" i="2"/>
  <c r="AH72" i="2"/>
  <c r="AH73" i="2"/>
  <c r="AH74" i="2"/>
  <c r="AH75" i="2"/>
  <c r="AH76" i="2"/>
  <c r="AH77" i="2"/>
  <c r="AH78" i="2"/>
  <c r="AH79" i="2"/>
  <c r="AH80" i="2"/>
  <c r="AH81" i="2"/>
  <c r="AH82" i="2"/>
  <c r="AH83" i="2"/>
  <c r="AH84" i="2"/>
  <c r="AH85" i="2"/>
  <c r="AH86" i="2"/>
  <c r="AH87" i="2"/>
  <c r="AH88" i="2"/>
  <c r="AH89" i="2"/>
  <c r="AH90" i="2"/>
  <c r="AH91" i="2"/>
  <c r="AH92" i="2"/>
  <c r="AH93" i="2"/>
  <c r="AH94" i="2"/>
  <c r="AH95" i="2"/>
  <c r="AH96" i="2"/>
  <c r="AH97" i="2"/>
  <c r="AH98" i="2"/>
  <c r="AH99" i="2"/>
  <c r="AH100" i="2"/>
  <c r="AH101" i="2"/>
  <c r="AH102" i="2"/>
  <c r="AH3" i="2"/>
  <c r="AR102" i="2"/>
  <c r="AJ102" i="2"/>
  <c r="AR101" i="2"/>
  <c r="AJ101" i="2"/>
  <c r="AN101" i="2" s="1"/>
  <c r="AR100" i="2"/>
  <c r="AJ100" i="2"/>
  <c r="AR99" i="2"/>
  <c r="AJ99" i="2"/>
  <c r="AN99" i="2" s="1"/>
  <c r="AR98" i="2"/>
  <c r="AN98" i="2"/>
  <c r="AJ98" i="2"/>
  <c r="AR97" i="2"/>
  <c r="AN97" i="2"/>
  <c r="AJ97" i="2"/>
  <c r="AR96" i="2"/>
  <c r="AJ96" i="2"/>
  <c r="AN96" i="2" s="1"/>
  <c r="AR95" i="2"/>
  <c r="AJ95" i="2"/>
  <c r="AR94" i="2"/>
  <c r="AN94" i="2"/>
  <c r="AJ94" i="2"/>
  <c r="AR93" i="2"/>
  <c r="AJ93" i="2"/>
  <c r="AR92" i="2"/>
  <c r="AN92" i="2"/>
  <c r="AJ92" i="2"/>
  <c r="AR91" i="2"/>
  <c r="AJ91" i="2"/>
  <c r="AR90" i="2"/>
  <c r="AJ90" i="2"/>
  <c r="AN90" i="2" s="1"/>
  <c r="AR89" i="2"/>
  <c r="AN89" i="2"/>
  <c r="AJ89" i="2"/>
  <c r="AR88" i="2"/>
  <c r="AJ88" i="2"/>
  <c r="AN88" i="2" s="1"/>
  <c r="AR87" i="2"/>
  <c r="AJ87" i="2"/>
  <c r="AR86" i="2"/>
  <c r="AJ86" i="2"/>
  <c r="AR85" i="2"/>
  <c r="AJ85" i="2"/>
  <c r="AR84" i="2"/>
  <c r="AJ84" i="2"/>
  <c r="AR83" i="2"/>
  <c r="AJ83" i="2"/>
  <c r="AN83" i="2" s="1"/>
  <c r="AR82" i="2"/>
  <c r="AJ82" i="2"/>
  <c r="AN82" i="2" s="1"/>
  <c r="AR81" i="2"/>
  <c r="AJ81" i="2"/>
  <c r="AN81" i="2" s="1"/>
  <c r="AR80" i="2"/>
  <c r="AJ80" i="2"/>
  <c r="AN80" i="2" s="1"/>
  <c r="AR79" i="2"/>
  <c r="AJ79" i="2"/>
  <c r="AR78" i="2"/>
  <c r="AN78" i="2"/>
  <c r="AJ78" i="2"/>
  <c r="AR77" i="2"/>
  <c r="AJ77" i="2"/>
  <c r="AR76" i="2"/>
  <c r="AN76" i="2"/>
  <c r="AJ76" i="2"/>
  <c r="AR75" i="2"/>
  <c r="AJ75" i="2"/>
  <c r="AR74" i="2"/>
  <c r="AJ74" i="2"/>
  <c r="AN74" i="2" s="1"/>
  <c r="AR73" i="2"/>
  <c r="AN73" i="2"/>
  <c r="AJ73" i="2"/>
  <c r="AR72" i="2"/>
  <c r="AJ72" i="2"/>
  <c r="AN72" i="2" s="1"/>
  <c r="AR71" i="2"/>
  <c r="AJ71" i="2"/>
  <c r="AR70" i="2"/>
  <c r="AN70" i="2"/>
  <c r="AJ70" i="2"/>
  <c r="AR69" i="2"/>
  <c r="AJ69" i="2"/>
  <c r="AR68" i="2"/>
  <c r="AJ68" i="2"/>
  <c r="AR67" i="2"/>
  <c r="AJ67" i="2"/>
  <c r="AR66" i="2"/>
  <c r="AJ66" i="2"/>
  <c r="AN66" i="2" s="1"/>
  <c r="AR65" i="2"/>
  <c r="AJ65" i="2"/>
  <c r="AN65" i="2" s="1"/>
  <c r="AR64" i="2"/>
  <c r="AJ64" i="2"/>
  <c r="AN64" i="2" s="1"/>
  <c r="AR63" i="2"/>
  <c r="AJ63" i="2"/>
  <c r="AR62" i="2"/>
  <c r="AJ62" i="2"/>
  <c r="AN62" i="2" s="1"/>
  <c r="AR61" i="2"/>
  <c r="AJ61" i="2"/>
  <c r="AR60" i="2"/>
  <c r="AN60" i="2"/>
  <c r="AJ60" i="2"/>
  <c r="AR59" i="2"/>
  <c r="AJ59" i="2"/>
  <c r="AR58" i="2"/>
  <c r="AN58" i="2"/>
  <c r="AJ58" i="2"/>
  <c r="AR57" i="2"/>
  <c r="AN57" i="2"/>
  <c r="AJ57" i="2"/>
  <c r="AR56" i="2"/>
  <c r="AJ56" i="2"/>
  <c r="AR55" i="2"/>
  <c r="AJ55" i="2"/>
  <c r="AR54" i="2"/>
  <c r="AN54" i="2"/>
  <c r="AJ54" i="2"/>
  <c r="AR53" i="2"/>
  <c r="AJ53" i="2"/>
  <c r="AR52" i="2"/>
  <c r="AJ52" i="2"/>
  <c r="AR51" i="2"/>
  <c r="AJ51" i="2"/>
  <c r="AR50" i="2"/>
  <c r="AJ50" i="2"/>
  <c r="AN50" i="2" s="1"/>
  <c r="AR49" i="2"/>
  <c r="AJ49" i="2"/>
  <c r="AN49" i="2" s="1"/>
  <c r="AR48" i="2"/>
  <c r="AJ48" i="2"/>
  <c r="AN48" i="2" s="1"/>
  <c r="AR47" i="2"/>
  <c r="AJ47" i="2"/>
  <c r="AR46" i="2"/>
  <c r="AN46" i="2"/>
  <c r="AJ46" i="2"/>
  <c r="AR45" i="2"/>
  <c r="AJ45" i="2"/>
  <c r="AR44" i="2"/>
  <c r="AJ44" i="2"/>
  <c r="AR43" i="2"/>
  <c r="AJ43" i="2"/>
  <c r="AR42" i="2"/>
  <c r="AJ42" i="2"/>
  <c r="AN42" i="2" s="1"/>
  <c r="AR41" i="2"/>
  <c r="AN41" i="2"/>
  <c r="AJ41" i="2"/>
  <c r="AR40" i="2"/>
  <c r="AJ40" i="2"/>
  <c r="AN40" i="2" s="1"/>
  <c r="AR39" i="2"/>
  <c r="AN39" i="2"/>
  <c r="AJ39" i="2"/>
  <c r="AR38" i="2"/>
  <c r="AN38" i="2"/>
  <c r="AJ38" i="2"/>
  <c r="AR37" i="2"/>
  <c r="AJ37" i="2"/>
  <c r="AR36" i="2"/>
  <c r="AJ36" i="2"/>
  <c r="AR35" i="2"/>
  <c r="AJ35" i="2"/>
  <c r="AN35" i="2" s="1"/>
  <c r="AR34" i="2"/>
  <c r="AJ34" i="2"/>
  <c r="AN34" i="2" s="1"/>
  <c r="AR33" i="2"/>
  <c r="AJ33" i="2"/>
  <c r="AN33" i="2" s="1"/>
  <c r="AR32" i="2"/>
  <c r="AJ32" i="2"/>
  <c r="AN32" i="2" s="1"/>
  <c r="AR31" i="2"/>
  <c r="AN31" i="2"/>
  <c r="AJ31" i="2"/>
  <c r="AR30" i="2"/>
  <c r="AJ30" i="2"/>
  <c r="AN30" i="2" s="1"/>
  <c r="AR29" i="2"/>
  <c r="AJ29" i="2"/>
  <c r="AR28" i="2"/>
  <c r="AN28" i="2"/>
  <c r="AJ28" i="2"/>
  <c r="AR27" i="2"/>
  <c r="AJ27" i="2"/>
  <c r="AR26" i="2"/>
  <c r="AN26" i="2"/>
  <c r="AJ26" i="2"/>
  <c r="AR25" i="2"/>
  <c r="AN25" i="2"/>
  <c r="AJ25" i="2"/>
  <c r="AR24" i="2"/>
  <c r="AJ24" i="2"/>
  <c r="AR23" i="2"/>
  <c r="AN23" i="2"/>
  <c r="AJ23" i="2"/>
  <c r="AR22" i="2"/>
  <c r="AN22" i="2"/>
  <c r="AJ22" i="2"/>
  <c r="AR21" i="2"/>
  <c r="AJ21" i="2"/>
  <c r="AR20" i="2"/>
  <c r="AJ20" i="2"/>
  <c r="AR19" i="2"/>
  <c r="AJ19" i="2"/>
  <c r="AN19" i="2" s="1"/>
  <c r="AR18" i="2"/>
  <c r="AJ18" i="2"/>
  <c r="AN18" i="2" s="1"/>
  <c r="AR17" i="2"/>
  <c r="AJ17" i="2"/>
  <c r="AN17" i="2" s="1"/>
  <c r="AR16" i="2"/>
  <c r="AJ16" i="2"/>
  <c r="AN16" i="2" s="1"/>
  <c r="AR15" i="2"/>
  <c r="AN15" i="2"/>
  <c r="AJ15" i="2"/>
  <c r="AR14" i="2"/>
  <c r="AJ14" i="2"/>
  <c r="AR13" i="2"/>
  <c r="AN13" i="2"/>
  <c r="AJ13" i="2"/>
  <c r="AR12" i="2"/>
  <c r="AN12" i="2"/>
  <c r="AJ12" i="2"/>
  <c r="AR11" i="2"/>
  <c r="AJ11" i="2"/>
  <c r="AN11" i="2" s="1"/>
  <c r="AR10" i="2"/>
  <c r="AJ10" i="2"/>
  <c r="AR9" i="2"/>
  <c r="AN9" i="2"/>
  <c r="AJ9" i="2"/>
  <c r="AR8" i="2"/>
  <c r="AJ8" i="2"/>
  <c r="AR7" i="2"/>
  <c r="AJ7" i="2"/>
  <c r="AR6" i="2"/>
  <c r="AN6" i="2"/>
  <c r="AJ6" i="2"/>
  <c r="AR5" i="2"/>
  <c r="AN5" i="2"/>
  <c r="AJ5" i="2"/>
  <c r="AR4" i="2"/>
  <c r="AN4" i="2"/>
  <c r="AJ4" i="2"/>
  <c r="AR3" i="2"/>
  <c r="AP3" i="2"/>
  <c r="AP4" i="2" s="1"/>
  <c r="AP5" i="2" s="1"/>
  <c r="AP6" i="2" s="1"/>
  <c r="AP7" i="2" s="1"/>
  <c r="AP8" i="2" s="1"/>
  <c r="AP9" i="2" s="1"/>
  <c r="AP10" i="2" s="1"/>
  <c r="AP11" i="2" s="1"/>
  <c r="AP12" i="2" s="1"/>
  <c r="AP13" i="2" s="1"/>
  <c r="AP14" i="2" s="1"/>
  <c r="AP15" i="2" s="1"/>
  <c r="AP16" i="2" s="1"/>
  <c r="AP17" i="2" s="1"/>
  <c r="AP18" i="2" s="1"/>
  <c r="AP19" i="2" s="1"/>
  <c r="AP20" i="2" s="1"/>
  <c r="AP21" i="2" s="1"/>
  <c r="AP22" i="2" s="1"/>
  <c r="AP23" i="2" s="1"/>
  <c r="AP24" i="2" s="1"/>
  <c r="AP25" i="2" s="1"/>
  <c r="AP26" i="2" s="1"/>
  <c r="AP27" i="2" s="1"/>
  <c r="AP28" i="2" s="1"/>
  <c r="AP29" i="2" s="1"/>
  <c r="AP30" i="2" s="1"/>
  <c r="AP31" i="2" s="1"/>
  <c r="AP32" i="2" s="1"/>
  <c r="AP33" i="2" s="1"/>
  <c r="AP34" i="2" s="1"/>
  <c r="AP35" i="2" s="1"/>
  <c r="AP36" i="2" s="1"/>
  <c r="AP37" i="2" s="1"/>
  <c r="AP38" i="2" s="1"/>
  <c r="AP39" i="2" s="1"/>
  <c r="AP40" i="2" s="1"/>
  <c r="AP41" i="2" s="1"/>
  <c r="AP42" i="2" s="1"/>
  <c r="AP43" i="2" s="1"/>
  <c r="AP44" i="2" s="1"/>
  <c r="AP45" i="2" s="1"/>
  <c r="AP46" i="2" s="1"/>
  <c r="AP47" i="2" s="1"/>
  <c r="AP48" i="2" s="1"/>
  <c r="AP49" i="2" s="1"/>
  <c r="AP50" i="2" s="1"/>
  <c r="AP51" i="2" s="1"/>
  <c r="AP52" i="2" s="1"/>
  <c r="AP53" i="2" s="1"/>
  <c r="AP54" i="2" s="1"/>
  <c r="AP55" i="2" s="1"/>
  <c r="AP56" i="2" s="1"/>
  <c r="AP57" i="2" s="1"/>
  <c r="AP58" i="2" s="1"/>
  <c r="AP59" i="2" s="1"/>
  <c r="AP60" i="2" s="1"/>
  <c r="AP61" i="2" s="1"/>
  <c r="AP62" i="2" s="1"/>
  <c r="AP63" i="2" s="1"/>
  <c r="AP64" i="2" s="1"/>
  <c r="AP65" i="2" s="1"/>
  <c r="AP66" i="2" s="1"/>
  <c r="AP67" i="2" s="1"/>
  <c r="AP68" i="2" s="1"/>
  <c r="AP69" i="2" s="1"/>
  <c r="AP70" i="2" s="1"/>
  <c r="AP71" i="2" s="1"/>
  <c r="AP72" i="2" s="1"/>
  <c r="AP73" i="2" s="1"/>
  <c r="AP74" i="2" s="1"/>
  <c r="AP75" i="2" s="1"/>
  <c r="AP76" i="2" s="1"/>
  <c r="AP77" i="2" s="1"/>
  <c r="AP78" i="2" s="1"/>
  <c r="AP79" i="2" s="1"/>
  <c r="AP80" i="2" s="1"/>
  <c r="AP81" i="2" s="1"/>
  <c r="AP82" i="2" s="1"/>
  <c r="AP83" i="2" s="1"/>
  <c r="AP84" i="2" s="1"/>
  <c r="AP85" i="2" s="1"/>
  <c r="AP86" i="2" s="1"/>
  <c r="AP87" i="2" s="1"/>
  <c r="AP88" i="2" s="1"/>
  <c r="AP89" i="2" s="1"/>
  <c r="AP90" i="2" s="1"/>
  <c r="AP91" i="2" s="1"/>
  <c r="AP92" i="2" s="1"/>
  <c r="AP93" i="2" s="1"/>
  <c r="AP94" i="2" s="1"/>
  <c r="AP95" i="2" s="1"/>
  <c r="AP96" i="2" s="1"/>
  <c r="AP97" i="2" s="1"/>
  <c r="AP98" i="2" s="1"/>
  <c r="AP99" i="2" s="1"/>
  <c r="AP100" i="2" s="1"/>
  <c r="AP101" i="2" s="1"/>
  <c r="AP102" i="2" s="1"/>
  <c r="AO3" i="2"/>
  <c r="AO4" i="2" s="1"/>
  <c r="AO5" i="2" s="1"/>
  <c r="AO6" i="2" s="1"/>
  <c r="AO7" i="2" s="1"/>
  <c r="AO8" i="2" s="1"/>
  <c r="AO9" i="2" s="1"/>
  <c r="AO10" i="2" s="1"/>
  <c r="AO11" i="2" s="1"/>
  <c r="AO12" i="2" s="1"/>
  <c r="AO13" i="2" s="1"/>
  <c r="AO14" i="2" s="1"/>
  <c r="AO15" i="2" s="1"/>
  <c r="AO16" i="2" s="1"/>
  <c r="AO17" i="2" s="1"/>
  <c r="AO18" i="2" s="1"/>
  <c r="AO19" i="2" s="1"/>
  <c r="AO20" i="2" s="1"/>
  <c r="AJ3" i="2"/>
  <c r="AN3" i="2" s="1"/>
  <c r="AI3" i="2"/>
  <c r="AR2" i="2"/>
  <c r="AP2" i="2"/>
  <c r="AN2" i="2"/>
  <c r="AO21" i="2" l="1"/>
  <c r="AO22" i="2" s="1"/>
  <c r="AO23" i="2" s="1"/>
  <c r="AO24" i="2" s="1"/>
  <c r="AO25" i="2" s="1"/>
  <c r="AO26" i="2" s="1"/>
  <c r="AO27" i="2" s="1"/>
  <c r="AO28" i="2" s="1"/>
  <c r="AO29" i="2" s="1"/>
  <c r="AO30" i="2" s="1"/>
  <c r="AO31" i="2" s="1"/>
  <c r="AO32" i="2" s="1"/>
  <c r="AO33" i="2" s="1"/>
  <c r="AO34" i="2" s="1"/>
  <c r="AO35" i="2" s="1"/>
  <c r="AO36" i="2" s="1"/>
  <c r="AO37" i="2" s="1"/>
  <c r="AO38" i="2" s="1"/>
  <c r="AO39" i="2" s="1"/>
  <c r="AO40" i="2" s="1"/>
  <c r="AO41" i="2" s="1"/>
  <c r="AO42" i="2" s="1"/>
  <c r="AO43" i="2" s="1"/>
  <c r="AO44" i="2" s="1"/>
  <c r="AO45" i="2" s="1"/>
  <c r="AO46" i="2" s="1"/>
  <c r="AO47" i="2" s="1"/>
  <c r="AO48" i="2" s="1"/>
  <c r="AO49" i="2" s="1"/>
  <c r="AO50" i="2" s="1"/>
  <c r="AO51" i="2" s="1"/>
  <c r="AO52" i="2" s="1"/>
  <c r="AO53" i="2" s="1"/>
  <c r="AO54" i="2" s="1"/>
  <c r="AO55" i="2" s="1"/>
  <c r="AO56" i="2" s="1"/>
  <c r="AO57" i="2" s="1"/>
  <c r="AO58" i="2" s="1"/>
  <c r="AO59" i="2" s="1"/>
  <c r="AO60" i="2" s="1"/>
  <c r="AO61" i="2" s="1"/>
  <c r="AO62" i="2" s="1"/>
  <c r="AO63" i="2" s="1"/>
  <c r="AO64" i="2" s="1"/>
  <c r="AO65" i="2" s="1"/>
  <c r="AO66" i="2" s="1"/>
  <c r="AO67" i="2" s="1"/>
  <c r="AO68" i="2" s="1"/>
  <c r="AO69" i="2" s="1"/>
  <c r="AO70" i="2" s="1"/>
  <c r="AO71" i="2" s="1"/>
  <c r="AO72" i="2" s="1"/>
  <c r="AO73" i="2" s="1"/>
  <c r="AO74" i="2" s="1"/>
  <c r="AO75" i="2" s="1"/>
  <c r="AO76" i="2" s="1"/>
  <c r="AO77" i="2" s="1"/>
  <c r="AO78" i="2" s="1"/>
  <c r="AO79" i="2" s="1"/>
  <c r="AO80" i="2" s="1"/>
  <c r="AO81" i="2" s="1"/>
  <c r="AO82" i="2" s="1"/>
  <c r="AO83" i="2" s="1"/>
  <c r="AO84" i="2" s="1"/>
  <c r="AO85" i="2" s="1"/>
  <c r="AO86" i="2" s="1"/>
  <c r="AO87" i="2" s="1"/>
  <c r="AO88" i="2" s="1"/>
  <c r="AO89" i="2" s="1"/>
  <c r="AO90" i="2" s="1"/>
  <c r="AO91" i="2" s="1"/>
  <c r="AO92" i="2" s="1"/>
  <c r="AO93" i="2" s="1"/>
  <c r="AO94" i="2" s="1"/>
  <c r="AO95" i="2" s="1"/>
  <c r="AO96" i="2" s="1"/>
  <c r="AO97" i="2" s="1"/>
  <c r="AO98" i="2" s="1"/>
  <c r="AO99" i="2" s="1"/>
  <c r="AO100" i="2" s="1"/>
  <c r="AO101" i="2" s="1"/>
  <c r="AO102" i="2" s="1"/>
  <c r="AN51" i="2"/>
  <c r="AN67" i="2"/>
  <c r="AN85" i="2"/>
  <c r="AN29" i="2"/>
  <c r="AN43" i="2"/>
  <c r="AN93" i="2"/>
  <c r="AN102" i="2"/>
  <c r="AN27" i="2"/>
  <c r="AN61" i="2"/>
  <c r="AN75" i="2"/>
  <c r="AN91" i="2"/>
  <c r="AN59" i="2"/>
  <c r="AN10" i="2"/>
  <c r="AN8" i="2"/>
  <c r="AI4" i="2"/>
  <c r="AI5" i="2" s="1"/>
  <c r="AI6" i="2" s="1"/>
  <c r="AI7" i="2" s="1"/>
  <c r="AI8" i="2" s="1"/>
  <c r="AI9" i="2" s="1"/>
  <c r="AI10" i="2" s="1"/>
  <c r="AI11" i="2" s="1"/>
  <c r="AI12" i="2" s="1"/>
  <c r="AI13" i="2" s="1"/>
  <c r="AI14" i="2" s="1"/>
  <c r="AI15" i="2" s="1"/>
  <c r="AI16" i="2" s="1"/>
  <c r="AI17" i="2" s="1"/>
  <c r="AI18" i="2" s="1"/>
  <c r="AI19" i="2" s="1"/>
  <c r="AI20" i="2" s="1"/>
  <c r="AI21" i="2" s="1"/>
  <c r="AI22" i="2" s="1"/>
  <c r="AI23" i="2" s="1"/>
  <c r="AI24" i="2" s="1"/>
  <c r="AI25" i="2" s="1"/>
  <c r="AI26" i="2" s="1"/>
  <c r="AI27" i="2" s="1"/>
  <c r="AI28" i="2" s="1"/>
  <c r="AI29" i="2" s="1"/>
  <c r="AI30" i="2" s="1"/>
  <c r="AI31" i="2" s="1"/>
  <c r="AI32" i="2" s="1"/>
  <c r="AI33" i="2" s="1"/>
  <c r="AI34" i="2" s="1"/>
  <c r="AI35" i="2" s="1"/>
  <c r="AI36" i="2" s="1"/>
  <c r="AI37" i="2" s="1"/>
  <c r="AI38" i="2" s="1"/>
  <c r="AI39" i="2" s="1"/>
  <c r="AI40" i="2" s="1"/>
  <c r="AI41" i="2" s="1"/>
  <c r="AI42" i="2" s="1"/>
  <c r="AI43" i="2" s="1"/>
  <c r="AI44" i="2" s="1"/>
  <c r="AI45" i="2" s="1"/>
  <c r="AI46" i="2" s="1"/>
  <c r="AI47" i="2" s="1"/>
  <c r="AI48" i="2" s="1"/>
  <c r="AI49" i="2" s="1"/>
  <c r="AI50" i="2" s="1"/>
  <c r="AI51" i="2" s="1"/>
  <c r="AI52" i="2" s="1"/>
  <c r="AI53" i="2" s="1"/>
  <c r="AI54" i="2" s="1"/>
  <c r="AI55" i="2" s="1"/>
  <c r="AI56" i="2" s="1"/>
  <c r="AI57" i="2" s="1"/>
  <c r="AI58" i="2" s="1"/>
  <c r="AI59" i="2" s="1"/>
  <c r="AI60" i="2" s="1"/>
  <c r="AI61" i="2" s="1"/>
  <c r="AI62" i="2" s="1"/>
  <c r="AI63" i="2" s="1"/>
  <c r="AI64" i="2" s="1"/>
  <c r="AI65" i="2" s="1"/>
  <c r="AI66" i="2" s="1"/>
  <c r="AI67" i="2" s="1"/>
  <c r="AI68" i="2" s="1"/>
  <c r="AI69" i="2" s="1"/>
  <c r="AI70" i="2" s="1"/>
  <c r="AI71" i="2" s="1"/>
  <c r="AI72" i="2" s="1"/>
  <c r="AI73" i="2" s="1"/>
  <c r="AI74" i="2" s="1"/>
  <c r="AI75" i="2" s="1"/>
  <c r="AI76" i="2" s="1"/>
  <c r="AI77" i="2" s="1"/>
  <c r="AI78" i="2" s="1"/>
  <c r="AI79" i="2" s="1"/>
  <c r="AI80" i="2" s="1"/>
  <c r="AI81" i="2" s="1"/>
  <c r="AI82" i="2" s="1"/>
  <c r="AI83" i="2" s="1"/>
  <c r="AI84" i="2" s="1"/>
  <c r="AI85" i="2" s="1"/>
  <c r="AI86" i="2" s="1"/>
  <c r="AI87" i="2" s="1"/>
  <c r="AI88" i="2" s="1"/>
  <c r="AI89" i="2" s="1"/>
  <c r="AI90" i="2" s="1"/>
  <c r="AI91" i="2" s="1"/>
  <c r="AI92" i="2" s="1"/>
  <c r="AI93" i="2" s="1"/>
  <c r="AI94" i="2" s="1"/>
  <c r="AI95" i="2" s="1"/>
  <c r="AI96" i="2" s="1"/>
  <c r="AI97" i="2" s="1"/>
  <c r="AI98" i="2" s="1"/>
  <c r="AI99" i="2" s="1"/>
  <c r="AI100" i="2" s="1"/>
  <c r="AI101" i="2" s="1"/>
  <c r="AI102" i="2" s="1"/>
  <c r="AN24" i="2"/>
  <c r="AN56" i="2"/>
  <c r="AK3" i="2"/>
  <c r="AN103" i="2" l="1"/>
  <c r="AK4" i="2"/>
  <c r="AL3" i="2"/>
  <c r="AK5" i="2" l="1"/>
  <c r="AL4" i="2"/>
  <c r="AK6" i="2" l="1"/>
  <c r="AL5" i="2"/>
  <c r="AL6" i="2" l="1"/>
  <c r="AK7" i="2"/>
  <c r="AK8" i="2" l="1"/>
  <c r="AL7" i="2"/>
  <c r="AK9" i="2" l="1"/>
  <c r="AL8" i="2"/>
  <c r="AL9" i="2" l="1"/>
  <c r="AK10" i="2"/>
  <c r="AL10" i="2" l="1"/>
  <c r="AK11" i="2"/>
  <c r="AK12" i="2" l="1"/>
  <c r="AL11" i="2"/>
  <c r="AK13" i="2" l="1"/>
  <c r="AL12" i="2"/>
  <c r="AK14" i="2" l="1"/>
  <c r="AL13" i="2"/>
  <c r="AL14" i="2" l="1"/>
  <c r="AK15" i="2"/>
  <c r="AK16" i="2" l="1"/>
  <c r="AL15" i="2"/>
  <c r="AK17" i="2" l="1"/>
  <c r="AL16" i="2"/>
  <c r="AL17" i="2" l="1"/>
  <c r="AK18" i="2"/>
  <c r="AL18" i="2" l="1"/>
  <c r="AK19" i="2"/>
  <c r="AK20" i="2" l="1"/>
  <c r="AL19" i="2"/>
  <c r="AK21" i="2" l="1"/>
  <c r="AL20" i="2"/>
  <c r="AK22" i="2" l="1"/>
  <c r="AL21" i="2"/>
  <c r="AL22" i="2" l="1"/>
  <c r="AK23" i="2"/>
  <c r="AL23" i="2" l="1"/>
  <c r="AK24" i="2"/>
  <c r="AK25" i="2" l="1"/>
  <c r="AL24" i="2"/>
  <c r="AL25" i="2" l="1"/>
  <c r="AK26" i="2"/>
  <c r="AL26" i="2" l="1"/>
  <c r="AK27" i="2"/>
  <c r="AK28" i="2" l="1"/>
  <c r="AL27" i="2"/>
  <c r="AK29" i="2" l="1"/>
  <c r="AL28" i="2"/>
  <c r="AL29" i="2" l="1"/>
  <c r="AK30" i="2"/>
  <c r="AL30" i="2" l="1"/>
  <c r="AK31" i="2"/>
  <c r="AK32" i="2" l="1"/>
  <c r="AL31" i="2"/>
  <c r="AK33" i="2" l="1"/>
  <c r="AL32" i="2"/>
  <c r="AL33" i="2" l="1"/>
  <c r="AK34" i="2"/>
  <c r="AL34" i="2" l="1"/>
  <c r="AK35" i="2"/>
  <c r="AK36" i="2" l="1"/>
  <c r="AL35" i="2"/>
  <c r="AK37" i="2" l="1"/>
  <c r="AL36" i="2"/>
  <c r="AL37" i="2" l="1"/>
  <c r="AK38" i="2"/>
  <c r="AL38" i="2" l="1"/>
  <c r="AK39" i="2"/>
  <c r="AK40" i="2" l="1"/>
  <c r="AL39" i="2"/>
  <c r="AK41" i="2" l="1"/>
  <c r="AL40" i="2"/>
  <c r="AL41" i="2" l="1"/>
  <c r="AK42" i="2"/>
  <c r="AL42" i="2" l="1"/>
  <c r="AK43" i="2"/>
  <c r="AK44" i="2" l="1"/>
  <c r="AL43" i="2"/>
  <c r="AK45" i="2" l="1"/>
  <c r="AL44" i="2"/>
  <c r="AK46" i="2" l="1"/>
  <c r="AL45" i="2"/>
  <c r="AL46" i="2" l="1"/>
  <c r="AK47" i="2"/>
  <c r="AL47" i="2" l="1"/>
  <c r="AK48" i="2"/>
  <c r="AK49" i="2" l="1"/>
  <c r="AL48" i="2"/>
  <c r="AL49" i="2" l="1"/>
  <c r="AK50" i="2"/>
  <c r="AL50" i="2" l="1"/>
  <c r="AK51" i="2"/>
  <c r="AK52" i="2" l="1"/>
  <c r="AL51" i="2"/>
  <c r="AK53" i="2" l="1"/>
  <c r="AL52" i="2"/>
  <c r="AK54" i="2" l="1"/>
  <c r="AL53" i="2"/>
  <c r="AL54" i="2" l="1"/>
  <c r="AK55" i="2"/>
  <c r="AL55" i="2" l="1"/>
  <c r="AK56" i="2"/>
  <c r="AK57" i="2" l="1"/>
  <c r="AL56" i="2"/>
  <c r="AL57" i="2" l="1"/>
  <c r="AK58" i="2"/>
  <c r="AL58" i="2" l="1"/>
  <c r="AK59" i="2"/>
  <c r="AK60" i="2" l="1"/>
  <c r="AL59" i="2"/>
  <c r="AK61" i="2" l="1"/>
  <c r="AL60" i="2"/>
  <c r="AK62" i="2" l="1"/>
  <c r="AL61" i="2"/>
  <c r="AL62" i="2" l="1"/>
  <c r="AK63" i="2"/>
  <c r="AK64" i="2" l="1"/>
  <c r="AL63" i="2"/>
  <c r="AK65" i="2" l="1"/>
  <c r="AL64" i="2"/>
  <c r="AL65" i="2" l="1"/>
  <c r="AK66" i="2"/>
  <c r="AL66" i="2" l="1"/>
  <c r="AK67" i="2"/>
  <c r="AK68" i="2" l="1"/>
  <c r="AL67" i="2"/>
  <c r="AK69" i="2" l="1"/>
  <c r="AL68" i="2"/>
  <c r="AK70" i="2" l="1"/>
  <c r="AL69" i="2"/>
  <c r="AL70" i="2" l="1"/>
  <c r="AK71" i="2"/>
  <c r="AL71" i="2" l="1"/>
  <c r="AK72" i="2"/>
  <c r="AK73" i="2" l="1"/>
  <c r="AL72" i="2"/>
  <c r="AL73" i="2" l="1"/>
  <c r="AK74" i="2"/>
  <c r="AL74" i="2" l="1"/>
  <c r="AK75" i="2"/>
  <c r="AK76" i="2" l="1"/>
  <c r="AL75" i="2"/>
  <c r="AK77" i="2" l="1"/>
  <c r="AL76" i="2"/>
  <c r="AK78" i="2" l="1"/>
  <c r="AL77" i="2"/>
  <c r="AL78" i="2" l="1"/>
  <c r="AK79" i="2"/>
  <c r="AK80" i="2" l="1"/>
  <c r="AL79" i="2"/>
  <c r="AK81" i="2" l="1"/>
  <c r="AL80" i="2"/>
  <c r="AL81" i="2" l="1"/>
  <c r="AK82" i="2"/>
  <c r="AL82" i="2" l="1"/>
  <c r="AK83" i="2"/>
  <c r="AK84" i="2" l="1"/>
  <c r="AL83" i="2"/>
  <c r="AK85" i="2" l="1"/>
  <c r="AL84" i="2"/>
  <c r="AK86" i="2" l="1"/>
  <c r="AL85" i="2"/>
  <c r="AL86" i="2" l="1"/>
  <c r="AK87" i="2"/>
  <c r="AK88" i="2" l="1"/>
  <c r="AL87" i="2"/>
  <c r="AK89" i="2" l="1"/>
  <c r="AL88" i="2"/>
  <c r="AL89" i="2" l="1"/>
  <c r="AK90" i="2"/>
  <c r="AL90" i="2" l="1"/>
  <c r="AK91" i="2"/>
  <c r="AK92" i="2" l="1"/>
  <c r="AL91" i="2"/>
  <c r="AK93" i="2" l="1"/>
  <c r="AL92" i="2"/>
  <c r="AK94" i="2" l="1"/>
  <c r="AL93" i="2"/>
  <c r="AL94" i="2" l="1"/>
  <c r="AK95" i="2"/>
  <c r="AL95" i="2" l="1"/>
  <c r="AK96" i="2"/>
  <c r="AK97" i="2" l="1"/>
  <c r="AL96" i="2"/>
  <c r="AK98" i="2" l="1"/>
  <c r="AL97" i="2"/>
  <c r="AL98" i="2" l="1"/>
  <c r="AK99" i="2"/>
  <c r="AK100" i="2" l="1"/>
  <c r="AL99" i="2"/>
  <c r="AK101" i="2" l="1"/>
  <c r="AL100" i="2"/>
  <c r="AK102" i="2" l="1"/>
  <c r="AL102" i="2" s="1"/>
  <c r="AL101" i="2"/>
  <c r="Q2" i="1" l="1"/>
  <c r="Q3" i="1" s="1"/>
  <c r="Q4" i="1" s="1"/>
  <c r="Q5" i="1" s="1"/>
  <c r="Q6" i="1" s="1"/>
  <c r="Q7" i="1" s="1"/>
  <c r="Q8" i="1" s="1"/>
  <c r="Q9" i="1" s="1"/>
  <c r="Q10" i="1" s="1"/>
  <c r="Q11" i="1" s="1"/>
  <c r="Q12" i="1" s="1"/>
  <c r="Q13" i="1" s="1"/>
  <c r="Q14" i="1" s="1"/>
  <c r="Q15" i="1" s="1"/>
  <c r="Q16" i="1" s="1"/>
  <c r="Q17" i="1" s="1"/>
  <c r="Q18" i="1" s="1"/>
  <c r="Q19" i="1" s="1"/>
  <c r="Q20" i="1" s="1"/>
  <c r="Q21" i="1" s="1"/>
  <c r="Q22" i="1" s="1"/>
  <c r="Q23" i="1" s="1"/>
  <c r="Q24" i="1" s="1"/>
  <c r="Q25" i="1" s="1"/>
  <c r="Q26" i="1" s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Q40" i="1" s="1"/>
  <c r="Q41" i="1" s="1"/>
  <c r="Q42" i="1" s="1"/>
  <c r="Q43" i="1" s="1"/>
  <c r="Q44" i="1" s="1"/>
  <c r="Q45" i="1" s="1"/>
  <c r="Q46" i="1" s="1"/>
  <c r="Q47" i="1" s="1"/>
  <c r="Q48" i="1" s="1"/>
  <c r="Q49" i="1" s="1"/>
  <c r="Q50" i="1" s="1"/>
  <c r="Q51" i="1" s="1"/>
  <c r="Q52" i="1" s="1"/>
  <c r="Q53" i="1" s="1"/>
  <c r="Q54" i="1" s="1"/>
  <c r="Q55" i="1" s="1"/>
  <c r="Q56" i="1" s="1"/>
  <c r="Q57" i="1" s="1"/>
  <c r="Q58" i="1" s="1"/>
  <c r="Q59" i="1" s="1"/>
  <c r="Q60" i="1" s="1"/>
  <c r="Q61" i="1" s="1"/>
  <c r="Q62" i="1" s="1"/>
  <c r="Q63" i="1" s="1"/>
  <c r="Q64" i="1" s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Q91" i="1" s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P2" i="1"/>
  <c r="P3" i="1" s="1"/>
  <c r="P4" i="1" s="1"/>
  <c r="P5" i="1" s="1"/>
  <c r="P6" i="1" s="1"/>
  <c r="P7" i="1" s="1"/>
  <c r="P8" i="1" s="1"/>
  <c r="P9" i="1" s="1"/>
  <c r="P10" i="1" s="1"/>
  <c r="P11" i="1" s="1"/>
  <c r="P12" i="1" s="1"/>
  <c r="P13" i="1" s="1"/>
  <c r="P14" i="1" s="1"/>
  <c r="P15" i="1" s="1"/>
  <c r="P16" i="1" s="1"/>
  <c r="P17" i="1" s="1"/>
  <c r="P18" i="1" s="1"/>
  <c r="P19" i="1" s="1"/>
  <c r="P20" i="1" s="1"/>
  <c r="P21" i="1" s="1"/>
  <c r="P22" i="1" s="1"/>
  <c r="P23" i="1" s="1"/>
  <c r="P24" i="1" s="1"/>
  <c r="P25" i="1" s="1"/>
  <c r="P26" i="1" s="1"/>
  <c r="P27" i="1" s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  <c r="P42" i="1" s="1"/>
  <c r="P43" i="1" s="1"/>
  <c r="P44" i="1" s="1"/>
  <c r="P45" i="1" s="1"/>
  <c r="P46" i="1" s="1"/>
  <c r="P47" i="1" s="1"/>
  <c r="P48" i="1" s="1"/>
  <c r="P49" i="1" s="1"/>
  <c r="P50" i="1" s="1"/>
  <c r="P51" i="1" s="1"/>
  <c r="P52" i="1" s="1"/>
  <c r="P53" i="1" s="1"/>
  <c r="P54" i="1" s="1"/>
  <c r="P55" i="1" s="1"/>
  <c r="P56" i="1" s="1"/>
  <c r="P57" i="1" s="1"/>
  <c r="P58" i="1" s="1"/>
  <c r="P59" i="1" s="1"/>
  <c r="P60" i="1" s="1"/>
  <c r="P61" i="1" s="1"/>
  <c r="P62" i="1" s="1"/>
  <c r="P63" i="1" s="1"/>
  <c r="P64" i="1" s="1"/>
  <c r="P65" i="1" s="1"/>
  <c r="P66" i="1" s="1"/>
  <c r="P67" i="1" s="1"/>
  <c r="P68" i="1" s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P98" i="1" s="1"/>
  <c r="P99" i="1" s="1"/>
  <c r="P100" i="1" s="1"/>
  <c r="P101" i="1" s="1"/>
  <c r="P102" i="1" s="1"/>
  <c r="N3" i="1" l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2" i="1"/>
</calcChain>
</file>

<file path=xl/comments1.xml><?xml version="1.0" encoding="utf-8"?>
<comments xmlns="http://schemas.openxmlformats.org/spreadsheetml/2006/main">
  <authors>
    <author>support</author>
  </authors>
  <commentList>
    <comment ref="AH1" authorId="0">
      <text>
        <r>
          <rPr>
            <b/>
            <sz val="9"/>
            <color indexed="81"/>
            <rFont val="Tahoma"/>
            <family val="2"/>
          </rPr>
          <t>support:</t>
        </r>
        <r>
          <rPr>
            <sz val="9"/>
            <color indexed="81"/>
            <rFont val="Tahoma"/>
            <family val="2"/>
          </rPr>
          <t xml:space="preserve">
Entnahmen</t>
        </r>
      </text>
    </comment>
    <comment ref="AJ1" authorId="0">
      <text>
        <r>
          <rPr>
            <b/>
            <sz val="9"/>
            <color indexed="81"/>
            <rFont val="Tahoma"/>
            <family val="2"/>
          </rPr>
          <t>support:</t>
        </r>
        <r>
          <rPr>
            <sz val="9"/>
            <color indexed="81"/>
            <rFont val="Tahoma"/>
            <family val="2"/>
          </rPr>
          <t xml:space="preserve">
Abgänge</t>
        </r>
      </text>
    </comment>
    <comment ref="AL1" authorId="0">
      <text>
        <r>
          <rPr>
            <b/>
            <sz val="9"/>
            <color indexed="81"/>
            <rFont val="Tahoma"/>
            <family val="2"/>
          </rPr>
          <t>support:</t>
        </r>
        <r>
          <rPr>
            <sz val="9"/>
            <color indexed="81"/>
            <rFont val="Tahoma"/>
            <family val="2"/>
          </rPr>
          <t xml:space="preserve">
Bestand
</t>
        </r>
      </text>
    </comment>
  </commentList>
</comments>
</file>

<file path=xl/sharedStrings.xml><?xml version="1.0" encoding="utf-8"?>
<sst xmlns="http://schemas.openxmlformats.org/spreadsheetml/2006/main" count="62" uniqueCount="55">
  <si>
    <t>Für Simulator:</t>
  </si>
  <si>
    <t xml:space="preserve">timeStep_bgn </t>
  </si>
  <si>
    <t xml:space="preserve">timeStep_end </t>
  </si>
  <si>
    <t>t</t>
  </si>
  <si>
    <t>D(t)</t>
  </si>
  <si>
    <t>Lambda(t)</t>
  </si>
  <si>
    <t>Lambda^bar(t)</t>
  </si>
  <si>
    <t>b(t)</t>
  </si>
  <si>
    <t>Q(t)/L^Q(t)</t>
  </si>
  <si>
    <t>W(t)/L^S(t)</t>
  </si>
  <si>
    <t>I(t)</t>
  </si>
  <si>
    <t>X(t)</t>
  </si>
  <si>
    <t>D (kum.)</t>
  </si>
  <si>
    <t>X (kum.)</t>
  </si>
  <si>
    <t xml:space="preserve">timeStep </t>
  </si>
  <si>
    <t xml:space="preserve">input_nrServ </t>
  </si>
  <si>
    <t xml:space="preserve">input_maxQueueLength </t>
  </si>
  <si>
    <t xml:space="preserve">input_arrRate </t>
  </si>
  <si>
    <t xml:space="preserve">input_procRate </t>
  </si>
  <si>
    <t xml:space="preserve">nrArr </t>
  </si>
  <si>
    <t xml:space="preserve">nrEffArr </t>
  </si>
  <si>
    <t xml:space="preserve">nrLost </t>
  </si>
  <si>
    <t xml:space="preserve">P_b </t>
  </si>
  <si>
    <t xml:space="preserve">L^Q </t>
  </si>
  <si>
    <t xml:space="preserve">L^Q_CI_halfWidth </t>
  </si>
  <si>
    <t xml:space="preserve">L^S </t>
  </si>
  <si>
    <t xml:space="preserve">L^S_CI_halfWidth </t>
  </si>
  <si>
    <t xml:space="preserve">rho </t>
  </si>
  <si>
    <t xml:space="preserve">rho_CI_halfWidth </t>
  </si>
  <si>
    <t xml:space="preserve">L^Q_P </t>
  </si>
  <si>
    <t xml:space="preserve">L^Q_P_CI_halfWidth </t>
  </si>
  <si>
    <t xml:space="preserve">L^S_P </t>
  </si>
  <si>
    <t xml:space="preserve">L^S_P_CI_halfWidth </t>
  </si>
  <si>
    <t xml:space="preserve">rho_P </t>
  </si>
  <si>
    <t xml:space="preserve">rho_P_CI_halfWidth </t>
  </si>
  <si>
    <t xml:space="preserve">W^Q_nrEffArr </t>
  </si>
  <si>
    <t xml:space="preserve">W^S_nrEffArr </t>
  </si>
  <si>
    <t xml:space="preserve">nrJobsBgnProc </t>
  </si>
  <si>
    <t xml:space="preserve">W^Q_nrJobsBgnProc </t>
  </si>
  <si>
    <t xml:space="preserve">W^S_nrJobsBgnProc </t>
  </si>
  <si>
    <t xml:space="preserve">nrJobsEndProc </t>
  </si>
  <si>
    <t xml:space="preserve">W^Q_nrJobsEndProc </t>
  </si>
  <si>
    <t xml:space="preserve">W^S_nrJobsEndProc </t>
  </si>
  <si>
    <t xml:space="preserve">NN </t>
  </si>
  <si>
    <t>--&gt;   Overall calculation time = 35711 ms = 0.595 min</t>
  </si>
  <si>
    <t xml:space="preserve">      Evaluation method: Simulation</t>
  </si>
  <si>
    <t xml:space="preserve">      Input: Number of replications: 1000000</t>
  </si>
  <si>
    <t xml:space="preserve">      Input: Confidence level in the calculation of the confidence intervals: 0.01</t>
  </si>
  <si>
    <t>X(t) SBC</t>
  </si>
  <si>
    <t xml:space="preserve"> ABS(Xsim - XSBC)</t>
  </si>
  <si>
    <t>I(t) SBC</t>
  </si>
  <si>
    <t>I(t) Simulation</t>
  </si>
  <si>
    <t>Ls(t) SBC</t>
  </si>
  <si>
    <t>Ls(t) Simulation</t>
  </si>
  <si>
    <t>X(t) Simulation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</si>
</sst>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6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11" fontId="0" fillId="0" borderId="0" xfId="0" applyNumberFormat="1"/>
    <xf numFmtId="0" fontId="0" fillId="3" borderId="0" xfId="0" applyFill="1"/>
    <xf numFmtId="0" fontId="3" fillId="2" borderId="0" xfId="0" applyFont="1" applyFill="1"/>
    <xf numFmtId="0" fontId="3" fillId="0" borderId="0" xfId="0" applyFont="1"/>
    <xf numFmtId="0" fontId="4" fillId="3" borderId="0" xfId="0" applyFont="1" applyFill="1"/>
    <xf numFmtId="0" fontId="4" fillId="0" borderId="0" xfId="0" applyFon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6.xml"/><Relationship Id="rId13" Type="http://schemas.openxmlformats.org/officeDocument/2006/relationships/chartsheet" Target="chartsheets/sheet11.xml"/><Relationship Id="rId18" Type="http://schemas.microsoft.com/office/2006/relationships/vbaProject" Target="vbaProject.bin"/><Relationship Id="rId3" Type="http://schemas.openxmlformats.org/officeDocument/2006/relationships/chartsheet" Target="chartsheets/sheet1.xml"/><Relationship Id="rId7" Type="http://schemas.openxmlformats.org/officeDocument/2006/relationships/chartsheet" Target="chartsheets/sheet5.xml"/><Relationship Id="rId12" Type="http://schemas.openxmlformats.org/officeDocument/2006/relationships/chartsheet" Target="chartsheets/sheet10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4.xml"/><Relationship Id="rId11" Type="http://schemas.openxmlformats.org/officeDocument/2006/relationships/chartsheet" Target="chartsheets/sheet9.xml"/><Relationship Id="rId5" Type="http://schemas.openxmlformats.org/officeDocument/2006/relationships/chartsheet" Target="chartsheets/sheet3.xml"/><Relationship Id="rId15" Type="http://schemas.openxmlformats.org/officeDocument/2006/relationships/styles" Target="styles.xml"/><Relationship Id="rId10" Type="http://schemas.openxmlformats.org/officeDocument/2006/relationships/chartsheet" Target="chartsheets/sheet8.xml"/><Relationship Id="rId4" Type="http://schemas.openxmlformats.org/officeDocument/2006/relationships/chartsheet" Target="chartsheets/sheet2.xml"/><Relationship Id="rId9" Type="http://schemas.openxmlformats.org/officeDocument/2006/relationships/chartsheet" Target="chartsheets/sheet7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A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495381259160785E-2"/>
          <c:y val="3.5212558468250457E-2"/>
          <c:w val="0.87301700923748171"/>
          <c:h val="0.77748451044000089"/>
        </c:manualLayout>
      </c:layout>
      <c:lineChart>
        <c:grouping val="standard"/>
        <c:varyColors val="0"/>
        <c:ser>
          <c:idx val="0"/>
          <c:order val="0"/>
          <c:tx>
            <c:strRef>
              <c:f>Simulation!$F$1</c:f>
              <c:strCache>
                <c:ptCount val="1"/>
                <c:pt idx="0">
                  <c:v>input_arrRate </c:v>
                </c:pt>
              </c:strCache>
            </c:strRef>
          </c:tx>
          <c:marker>
            <c:symbol val="none"/>
          </c:marker>
          <c:cat>
            <c:strRef>
              <c:f>Simulation!$A$2:$A$106</c:f>
              <c:strCach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--&gt;   Overall calculation time = 35711 ms = 0.595 min</c:v>
                </c:pt>
                <c:pt idx="102">
                  <c:v>      Evaluation method: Simulation</c:v>
                </c:pt>
                <c:pt idx="103">
                  <c:v>      Input: Number of replications: 1000000</c:v>
                </c:pt>
                <c:pt idx="104">
                  <c:v>      Input: Confidence level in the calculation of the confidence intervals: 0.01</c:v>
                </c:pt>
              </c:strCache>
            </c:strRef>
          </c:cat>
          <c:val>
            <c:numRef>
              <c:f>Simulation!$F$2:$F$106</c:f>
              <c:numCache>
                <c:formatCode>General</c:formatCode>
                <c:ptCount val="10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0.37</c:v>
                </c:pt>
                <c:pt idx="6">
                  <c:v>0.67</c:v>
                </c:pt>
                <c:pt idx="7">
                  <c:v>0.76</c:v>
                </c:pt>
                <c:pt idx="8">
                  <c:v>0.8</c:v>
                </c:pt>
                <c:pt idx="9">
                  <c:v>0.83</c:v>
                </c:pt>
                <c:pt idx="10">
                  <c:v>0.85</c:v>
                </c:pt>
                <c:pt idx="11">
                  <c:v>0.86</c:v>
                </c:pt>
                <c:pt idx="12">
                  <c:v>0.87</c:v>
                </c:pt>
                <c:pt idx="13">
                  <c:v>0.88</c:v>
                </c:pt>
                <c:pt idx="14">
                  <c:v>0.89</c:v>
                </c:pt>
                <c:pt idx="15">
                  <c:v>0.89</c:v>
                </c:pt>
                <c:pt idx="16">
                  <c:v>0.9</c:v>
                </c:pt>
                <c:pt idx="17">
                  <c:v>0.9</c:v>
                </c:pt>
                <c:pt idx="18">
                  <c:v>0.91</c:v>
                </c:pt>
                <c:pt idx="19">
                  <c:v>0.91</c:v>
                </c:pt>
                <c:pt idx="20">
                  <c:v>0.91</c:v>
                </c:pt>
                <c:pt idx="21">
                  <c:v>0.92</c:v>
                </c:pt>
                <c:pt idx="22">
                  <c:v>0.92</c:v>
                </c:pt>
                <c:pt idx="23">
                  <c:v>0.92</c:v>
                </c:pt>
                <c:pt idx="24">
                  <c:v>0.92</c:v>
                </c:pt>
                <c:pt idx="25">
                  <c:v>0.92</c:v>
                </c:pt>
                <c:pt idx="26">
                  <c:v>0.93</c:v>
                </c:pt>
                <c:pt idx="27">
                  <c:v>0.93</c:v>
                </c:pt>
                <c:pt idx="28">
                  <c:v>0.93</c:v>
                </c:pt>
                <c:pt idx="29">
                  <c:v>0.93</c:v>
                </c:pt>
                <c:pt idx="30">
                  <c:v>0.93</c:v>
                </c:pt>
                <c:pt idx="31">
                  <c:v>0.93</c:v>
                </c:pt>
                <c:pt idx="32">
                  <c:v>0.94</c:v>
                </c:pt>
                <c:pt idx="33">
                  <c:v>0.94</c:v>
                </c:pt>
                <c:pt idx="34">
                  <c:v>0.94</c:v>
                </c:pt>
                <c:pt idx="35">
                  <c:v>0.89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0.83</c:v>
                </c:pt>
                <c:pt idx="40">
                  <c:v>0.9</c:v>
                </c:pt>
                <c:pt idx="41">
                  <c:v>0.9</c:v>
                </c:pt>
                <c:pt idx="42">
                  <c:v>0.91</c:v>
                </c:pt>
                <c:pt idx="43">
                  <c:v>0.91</c:v>
                </c:pt>
                <c:pt idx="44">
                  <c:v>0.91</c:v>
                </c:pt>
                <c:pt idx="45">
                  <c:v>0.92</c:v>
                </c:pt>
                <c:pt idx="46">
                  <c:v>0.78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Simulation!$AH$1</c:f>
              <c:strCache>
                <c:ptCount val="1"/>
                <c:pt idx="0">
                  <c:v>D(t)</c:v>
                </c:pt>
              </c:strCache>
            </c:strRef>
          </c:tx>
          <c:marker>
            <c:symbol val="none"/>
          </c:marker>
          <c:cat>
            <c:strRef>
              <c:f>Simulation!$A$2:$A$106</c:f>
              <c:strCach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--&gt;   Overall calculation time = 35711 ms = 0.595 min</c:v>
                </c:pt>
                <c:pt idx="102">
                  <c:v>      Evaluation method: Simulation</c:v>
                </c:pt>
                <c:pt idx="103">
                  <c:v>      Input: Number of replications: 1000000</c:v>
                </c:pt>
                <c:pt idx="104">
                  <c:v>      Input: Confidence level in the calculation of the confidence intervals: 0.01</c:v>
                </c:pt>
              </c:strCache>
            </c:strRef>
          </c:cat>
          <c:val>
            <c:numRef>
              <c:f>Simulation!$AH$2:$AH$106</c:f>
              <c:numCache>
                <c:formatCode>General</c:formatCode>
                <c:ptCount val="10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0.7</c:v>
                </c:pt>
                <c:pt idx="8">
                  <c:v>0.7</c:v>
                </c:pt>
                <c:pt idx="9">
                  <c:v>0.7</c:v>
                </c:pt>
                <c:pt idx="10">
                  <c:v>0.7</c:v>
                </c:pt>
                <c:pt idx="11">
                  <c:v>0.7</c:v>
                </c:pt>
                <c:pt idx="12">
                  <c:v>0.7</c:v>
                </c:pt>
                <c:pt idx="13">
                  <c:v>0.7</c:v>
                </c:pt>
                <c:pt idx="14">
                  <c:v>0.7</c:v>
                </c:pt>
                <c:pt idx="15">
                  <c:v>0.7</c:v>
                </c:pt>
                <c:pt idx="16">
                  <c:v>0.7</c:v>
                </c:pt>
                <c:pt idx="17">
                  <c:v>0.7</c:v>
                </c:pt>
                <c:pt idx="18">
                  <c:v>0.7</c:v>
                </c:pt>
                <c:pt idx="19">
                  <c:v>0.7</c:v>
                </c:pt>
                <c:pt idx="20">
                  <c:v>0.7</c:v>
                </c:pt>
                <c:pt idx="21">
                  <c:v>0.7</c:v>
                </c:pt>
                <c:pt idx="22">
                  <c:v>0.7</c:v>
                </c:pt>
                <c:pt idx="23">
                  <c:v>0.7</c:v>
                </c:pt>
                <c:pt idx="24">
                  <c:v>0.7</c:v>
                </c:pt>
                <c:pt idx="25">
                  <c:v>0.7</c:v>
                </c:pt>
                <c:pt idx="26">
                  <c:v>0.7</c:v>
                </c:pt>
                <c:pt idx="27">
                  <c:v>0.7</c:v>
                </c:pt>
                <c:pt idx="28">
                  <c:v>0.7</c:v>
                </c:pt>
                <c:pt idx="29">
                  <c:v>0.7</c:v>
                </c:pt>
                <c:pt idx="30">
                  <c:v>0.7</c:v>
                </c:pt>
                <c:pt idx="31">
                  <c:v>0.7</c:v>
                </c:pt>
                <c:pt idx="32">
                  <c:v>1.2</c:v>
                </c:pt>
                <c:pt idx="33">
                  <c:v>1.2</c:v>
                </c:pt>
                <c:pt idx="34">
                  <c:v>1.2</c:v>
                </c:pt>
                <c:pt idx="35">
                  <c:v>1.2</c:v>
                </c:pt>
                <c:pt idx="36">
                  <c:v>1.2</c:v>
                </c:pt>
                <c:pt idx="37">
                  <c:v>0.7</c:v>
                </c:pt>
                <c:pt idx="38">
                  <c:v>0.7</c:v>
                </c:pt>
                <c:pt idx="39">
                  <c:v>0.7</c:v>
                </c:pt>
                <c:pt idx="40">
                  <c:v>0.7</c:v>
                </c:pt>
                <c:pt idx="41">
                  <c:v>0.7</c:v>
                </c:pt>
                <c:pt idx="42">
                  <c:v>0.7</c:v>
                </c:pt>
                <c:pt idx="43">
                  <c:v>0.7</c:v>
                </c:pt>
                <c:pt idx="44">
                  <c:v>0.7</c:v>
                </c:pt>
                <c:pt idx="45">
                  <c:v>0.7</c:v>
                </c:pt>
                <c:pt idx="46">
                  <c:v>0.7</c:v>
                </c:pt>
                <c:pt idx="47">
                  <c:v>0.7</c:v>
                </c:pt>
                <c:pt idx="48">
                  <c:v>0.7</c:v>
                </c:pt>
                <c:pt idx="49">
                  <c:v>0.7</c:v>
                </c:pt>
                <c:pt idx="50">
                  <c:v>0.7</c:v>
                </c:pt>
                <c:pt idx="51">
                  <c:v>0.7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Simulation!$AJ$1</c:f>
              <c:strCache>
                <c:ptCount val="1"/>
                <c:pt idx="0">
                  <c:v>X(t) Simulation</c:v>
                </c:pt>
              </c:strCache>
            </c:strRef>
          </c:tx>
          <c:spPr>
            <a:ln>
              <a:prstDash val="dash"/>
            </a:ln>
          </c:spPr>
          <c:marker>
            <c:symbol val="none"/>
          </c:marker>
          <c:cat>
            <c:strRef>
              <c:f>Simulation!$A$2:$A$106</c:f>
              <c:strCach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--&gt;   Overall calculation time = 35711 ms = 0.595 min</c:v>
                </c:pt>
                <c:pt idx="102">
                  <c:v>      Evaluation method: Simulation</c:v>
                </c:pt>
                <c:pt idx="103">
                  <c:v>      Input: Number of replications: 1000000</c:v>
                </c:pt>
                <c:pt idx="104">
                  <c:v>      Input: Confidence level in the calculation of the confidence intervals: 0.01</c:v>
                </c:pt>
              </c:strCache>
            </c:strRef>
          </c:cat>
          <c:val>
            <c:numRef>
              <c:f>Simulation!$AJ$2:$AJ$106</c:f>
              <c:numCache>
                <c:formatCode>General</c:formatCode>
                <c:ptCount val="10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0.12686</c:v>
                </c:pt>
                <c:pt idx="6">
                  <c:v>0.331152</c:v>
                </c:pt>
                <c:pt idx="7">
                  <c:v>0.47449599999999997</c:v>
                </c:pt>
                <c:pt idx="8">
                  <c:v>0.55740000000000001</c:v>
                </c:pt>
                <c:pt idx="9">
                  <c:v>0.61287499999999995</c:v>
                </c:pt>
                <c:pt idx="10">
                  <c:v>0.65022500000000005</c:v>
                </c:pt>
                <c:pt idx="11">
                  <c:v>0.68003999999999998</c:v>
                </c:pt>
                <c:pt idx="12">
                  <c:v>0.70099599999999995</c:v>
                </c:pt>
                <c:pt idx="13">
                  <c:v>0.72118899999999997</c:v>
                </c:pt>
                <c:pt idx="14">
                  <c:v>0.737869</c:v>
                </c:pt>
                <c:pt idx="15">
                  <c:v>0.75139400000000001</c:v>
                </c:pt>
                <c:pt idx="16">
                  <c:v>0.76039800000000002</c:v>
                </c:pt>
                <c:pt idx="17">
                  <c:v>0.77209000000000005</c:v>
                </c:pt>
                <c:pt idx="18">
                  <c:v>0.78093500000000005</c:v>
                </c:pt>
                <c:pt idx="19">
                  <c:v>0.78723900000000002</c:v>
                </c:pt>
                <c:pt idx="20">
                  <c:v>0.79420299999999999</c:v>
                </c:pt>
                <c:pt idx="21">
                  <c:v>0.80293700000000001</c:v>
                </c:pt>
                <c:pt idx="22">
                  <c:v>0.8095</c:v>
                </c:pt>
                <c:pt idx="23">
                  <c:v>0.81400600000000001</c:v>
                </c:pt>
                <c:pt idx="24">
                  <c:v>0.81795399999999996</c:v>
                </c:pt>
                <c:pt idx="25">
                  <c:v>0.82304600000000006</c:v>
                </c:pt>
                <c:pt idx="26">
                  <c:v>0.82822700000000005</c:v>
                </c:pt>
                <c:pt idx="27">
                  <c:v>0.83258500000000002</c:v>
                </c:pt>
                <c:pt idx="28">
                  <c:v>0.833372</c:v>
                </c:pt>
                <c:pt idx="29">
                  <c:v>0.83881700000000003</c:v>
                </c:pt>
                <c:pt idx="30">
                  <c:v>0.84357199999999999</c:v>
                </c:pt>
                <c:pt idx="31">
                  <c:v>0.84364799999999995</c:v>
                </c:pt>
                <c:pt idx="32">
                  <c:v>0.84507399999999999</c:v>
                </c:pt>
                <c:pt idx="33">
                  <c:v>0.84949799999999998</c:v>
                </c:pt>
                <c:pt idx="34">
                  <c:v>0.85113499999999997</c:v>
                </c:pt>
                <c:pt idx="35">
                  <c:v>0.85336599999999996</c:v>
                </c:pt>
                <c:pt idx="36">
                  <c:v>0.787327</c:v>
                </c:pt>
                <c:pt idx="37">
                  <c:v>0.66591100000000003</c:v>
                </c:pt>
                <c:pt idx="38">
                  <c:v>0.56076499999999996</c:v>
                </c:pt>
                <c:pt idx="39">
                  <c:v>0.60775599999999996</c:v>
                </c:pt>
                <c:pt idx="40">
                  <c:v>0.70172900000000005</c:v>
                </c:pt>
                <c:pt idx="41">
                  <c:v>0.741421</c:v>
                </c:pt>
                <c:pt idx="42">
                  <c:v>0.764957</c:v>
                </c:pt>
                <c:pt idx="43">
                  <c:v>0.78204499999999999</c:v>
                </c:pt>
                <c:pt idx="44">
                  <c:v>0.79259299999999999</c:v>
                </c:pt>
                <c:pt idx="45">
                  <c:v>0.80188000000000004</c:v>
                </c:pt>
                <c:pt idx="46">
                  <c:v>0.79884599999999995</c:v>
                </c:pt>
                <c:pt idx="47">
                  <c:v>0.714445</c:v>
                </c:pt>
                <c:pt idx="48">
                  <c:v>0.57644200000000001</c:v>
                </c:pt>
                <c:pt idx="49">
                  <c:v>0.45888499999999999</c:v>
                </c:pt>
                <c:pt idx="50">
                  <c:v>0.36497000000000002</c:v>
                </c:pt>
                <c:pt idx="51">
                  <c:v>0.288937</c:v>
                </c:pt>
                <c:pt idx="52">
                  <c:v>0.227491</c:v>
                </c:pt>
                <c:pt idx="53">
                  <c:v>0.17812700000000001</c:v>
                </c:pt>
                <c:pt idx="54">
                  <c:v>0.13957800000000001</c:v>
                </c:pt>
                <c:pt idx="55">
                  <c:v>0.109024</c:v>
                </c:pt>
                <c:pt idx="56">
                  <c:v>8.4574999999999997E-2</c:v>
                </c:pt>
                <c:pt idx="57">
                  <c:v>6.6211000000000006E-2</c:v>
                </c:pt>
                <c:pt idx="58">
                  <c:v>5.0723999999999998E-2</c:v>
                </c:pt>
                <c:pt idx="59">
                  <c:v>3.9149999999999997E-2</c:v>
                </c:pt>
                <c:pt idx="60">
                  <c:v>3.0176999999999999E-2</c:v>
                </c:pt>
                <c:pt idx="61">
                  <c:v>2.2838000000000001E-2</c:v>
                </c:pt>
                <c:pt idx="62">
                  <c:v>1.7857000000000001E-2</c:v>
                </c:pt>
                <c:pt idx="63">
                  <c:v>1.3426E-2</c:v>
                </c:pt>
                <c:pt idx="64">
                  <c:v>1.0175E-2</c:v>
                </c:pt>
                <c:pt idx="65">
                  <c:v>7.6109999999999997E-3</c:v>
                </c:pt>
                <c:pt idx="66">
                  <c:v>5.764E-3</c:v>
                </c:pt>
                <c:pt idx="67">
                  <c:v>4.248E-3</c:v>
                </c:pt>
                <c:pt idx="68">
                  <c:v>3.13E-3</c:v>
                </c:pt>
                <c:pt idx="69">
                  <c:v>2.3939999999999999E-3</c:v>
                </c:pt>
                <c:pt idx="70">
                  <c:v>1.7639999999999999E-3</c:v>
                </c:pt>
                <c:pt idx="71">
                  <c:v>1.253E-3</c:v>
                </c:pt>
                <c:pt idx="72">
                  <c:v>9.0300000000000005E-4</c:v>
                </c:pt>
                <c:pt idx="73">
                  <c:v>6.5099999999999999E-4</c:v>
                </c:pt>
                <c:pt idx="74">
                  <c:v>4.8500000000000003E-4</c:v>
                </c:pt>
                <c:pt idx="75">
                  <c:v>3.3100000000000002E-4</c:v>
                </c:pt>
                <c:pt idx="76">
                  <c:v>2.5900000000000001E-4</c:v>
                </c:pt>
                <c:pt idx="77">
                  <c:v>1.46E-4</c:v>
                </c:pt>
                <c:pt idx="78">
                  <c:v>1.06E-4</c:v>
                </c:pt>
                <c:pt idx="79">
                  <c:v>6.0000000000000002E-5</c:v>
                </c:pt>
                <c:pt idx="80">
                  <c:v>4.6E-5</c:v>
                </c:pt>
                <c:pt idx="81">
                  <c:v>3.8999999999999999E-5</c:v>
                </c:pt>
                <c:pt idx="82">
                  <c:v>3.8000000000000002E-5</c:v>
                </c:pt>
                <c:pt idx="83">
                  <c:v>2.6999999999999999E-5</c:v>
                </c:pt>
                <c:pt idx="84">
                  <c:v>1.8E-5</c:v>
                </c:pt>
                <c:pt idx="85">
                  <c:v>1.0000000000000001E-5</c:v>
                </c:pt>
                <c:pt idx="86">
                  <c:v>6.9999999999999999E-6</c:v>
                </c:pt>
                <c:pt idx="87">
                  <c:v>9.9999999999999995E-7</c:v>
                </c:pt>
                <c:pt idx="88">
                  <c:v>3.0000000000000001E-6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Simulation!$AM$1</c:f>
              <c:strCache>
                <c:ptCount val="1"/>
                <c:pt idx="0">
                  <c:v>X(t) SBC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strRef>
              <c:f>Simulation!$A$2:$A$106</c:f>
              <c:strCach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--&gt;   Overall calculation time = 35711 ms = 0.595 min</c:v>
                </c:pt>
                <c:pt idx="102">
                  <c:v>      Evaluation method: Simulation</c:v>
                </c:pt>
                <c:pt idx="103">
                  <c:v>      Input: Number of replications: 1000000</c:v>
                </c:pt>
                <c:pt idx="104">
                  <c:v>      Input: Confidence level in the calculation of the confidence intervals: 0.01</c:v>
                </c:pt>
              </c:strCache>
            </c:strRef>
          </c:cat>
          <c:val>
            <c:numRef>
              <c:f>Simulation!$AM$2:$AM$106</c:f>
              <c:numCache>
                <c:formatCode>General</c:formatCode>
                <c:ptCount val="10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0.27</c:v>
                </c:pt>
                <c:pt idx="6">
                  <c:v>0.43</c:v>
                </c:pt>
                <c:pt idx="7">
                  <c:v>0.52</c:v>
                </c:pt>
                <c:pt idx="8">
                  <c:v>0.57999999999999996</c:v>
                </c:pt>
                <c:pt idx="9">
                  <c:v>0.62</c:v>
                </c:pt>
                <c:pt idx="10">
                  <c:v>0.65</c:v>
                </c:pt>
                <c:pt idx="11">
                  <c:v>0.67</c:v>
                </c:pt>
                <c:pt idx="12">
                  <c:v>0.69</c:v>
                </c:pt>
                <c:pt idx="13">
                  <c:v>0.71</c:v>
                </c:pt>
                <c:pt idx="14">
                  <c:v>0.72</c:v>
                </c:pt>
                <c:pt idx="15">
                  <c:v>0.74</c:v>
                </c:pt>
                <c:pt idx="16">
                  <c:v>0.75</c:v>
                </c:pt>
                <c:pt idx="17">
                  <c:v>0.76</c:v>
                </c:pt>
                <c:pt idx="18">
                  <c:v>0.77</c:v>
                </c:pt>
                <c:pt idx="19">
                  <c:v>0.77</c:v>
                </c:pt>
                <c:pt idx="20">
                  <c:v>0.78</c:v>
                </c:pt>
                <c:pt idx="21">
                  <c:v>0.79</c:v>
                </c:pt>
                <c:pt idx="22">
                  <c:v>0.79</c:v>
                </c:pt>
                <c:pt idx="23">
                  <c:v>0.8</c:v>
                </c:pt>
                <c:pt idx="24">
                  <c:v>0.8</c:v>
                </c:pt>
                <c:pt idx="25">
                  <c:v>0.81</c:v>
                </c:pt>
                <c:pt idx="26">
                  <c:v>0.81</c:v>
                </c:pt>
                <c:pt idx="27">
                  <c:v>0.82</c:v>
                </c:pt>
                <c:pt idx="28">
                  <c:v>0.82</c:v>
                </c:pt>
                <c:pt idx="29">
                  <c:v>0.82</c:v>
                </c:pt>
                <c:pt idx="30">
                  <c:v>0.83</c:v>
                </c:pt>
                <c:pt idx="31">
                  <c:v>0.83</c:v>
                </c:pt>
                <c:pt idx="32">
                  <c:v>0.83</c:v>
                </c:pt>
                <c:pt idx="33">
                  <c:v>0.84</c:v>
                </c:pt>
                <c:pt idx="34">
                  <c:v>0.84</c:v>
                </c:pt>
                <c:pt idx="35">
                  <c:v>0.84</c:v>
                </c:pt>
                <c:pt idx="36">
                  <c:v>0.81</c:v>
                </c:pt>
                <c:pt idx="37">
                  <c:v>0.78</c:v>
                </c:pt>
                <c:pt idx="38">
                  <c:v>0.74</c:v>
                </c:pt>
                <c:pt idx="39">
                  <c:v>0.74</c:v>
                </c:pt>
                <c:pt idx="40">
                  <c:v>0.75</c:v>
                </c:pt>
                <c:pt idx="41">
                  <c:v>0.76</c:v>
                </c:pt>
                <c:pt idx="42">
                  <c:v>0.77</c:v>
                </c:pt>
                <c:pt idx="43">
                  <c:v>0.78</c:v>
                </c:pt>
                <c:pt idx="44">
                  <c:v>0.78</c:v>
                </c:pt>
                <c:pt idx="45">
                  <c:v>0.79</c:v>
                </c:pt>
                <c:pt idx="46">
                  <c:v>0.79</c:v>
                </c:pt>
                <c:pt idx="47">
                  <c:v>0.75</c:v>
                </c:pt>
                <c:pt idx="48">
                  <c:v>0.69</c:v>
                </c:pt>
                <c:pt idx="49">
                  <c:v>0.6</c:v>
                </c:pt>
                <c:pt idx="50">
                  <c:v>0.48</c:v>
                </c:pt>
                <c:pt idx="51">
                  <c:v>0.3</c:v>
                </c:pt>
                <c:pt idx="52">
                  <c:v>0.12</c:v>
                </c:pt>
                <c:pt idx="53">
                  <c:v>0.02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859712"/>
        <c:axId val="101861632"/>
      </c:lineChart>
      <c:catAx>
        <c:axId val="101859712"/>
        <c:scaling>
          <c:orientation val="minMax"/>
        </c:scaling>
        <c:delete val="0"/>
        <c:axPos val="b"/>
        <c:majorTickMark val="out"/>
        <c:minorTickMark val="none"/>
        <c:tickLblPos val="nextTo"/>
        <c:crossAx val="101861632"/>
        <c:crosses val="autoZero"/>
        <c:auto val="1"/>
        <c:lblAlgn val="ctr"/>
        <c:lblOffset val="100"/>
        <c:tickLblSkip val="10"/>
        <c:noMultiLvlLbl val="0"/>
      </c:catAx>
      <c:valAx>
        <c:axId val="101861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18597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581109179534376"/>
          <c:y val="0.83883340700395315"/>
          <c:w val="0.68237072638647434"/>
          <c:h val="0.15963099760008589"/>
        </c:manualLayout>
      </c:layout>
      <c:overlay val="0"/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A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811501455686047E-2"/>
          <c:y val="4.0534938609125118E-2"/>
          <c:w val="0.88928014362313945"/>
          <c:h val="0.75311870244039869"/>
        </c:manualLayout>
      </c:layout>
      <c:lineChart>
        <c:grouping val="standard"/>
        <c:varyColors val="0"/>
        <c:ser>
          <c:idx val="0"/>
          <c:order val="0"/>
          <c:tx>
            <c:strRef>
              <c:f>Simulation!$AO$1</c:f>
              <c:strCache>
                <c:ptCount val="1"/>
                <c:pt idx="0">
                  <c:v>I(t) SBC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cat>
            <c:strRef>
              <c:f>Simulation!$A$2:$A$106</c:f>
              <c:strCach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--&gt;   Overall calculation time = 35711 ms = 0.595 min</c:v>
                </c:pt>
                <c:pt idx="102">
                  <c:v>      Evaluation method: Simulation</c:v>
                </c:pt>
                <c:pt idx="103">
                  <c:v>      Input: Number of replications: 1000000</c:v>
                </c:pt>
                <c:pt idx="104">
                  <c:v>      Input: Confidence level in the calculation of the confidence intervals: 0.01</c:v>
                </c:pt>
              </c:strCache>
            </c:strRef>
          </c:cat>
          <c:val>
            <c:numRef>
              <c:f>Simulation!$AO$2:$AO$106</c:f>
              <c:numCache>
                <c:formatCode>General</c:formatCode>
                <c:ptCount val="10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0.27</c:v>
                </c:pt>
                <c:pt idx="6">
                  <c:v>0.7</c:v>
                </c:pt>
                <c:pt idx="7">
                  <c:v>0.52</c:v>
                </c:pt>
                <c:pt idx="8">
                  <c:v>0.40000000000000013</c:v>
                </c:pt>
                <c:pt idx="9">
                  <c:v>0.32000000000000006</c:v>
                </c:pt>
                <c:pt idx="10">
                  <c:v>0.27000000000000013</c:v>
                </c:pt>
                <c:pt idx="11">
                  <c:v>0.24000000000000021</c:v>
                </c:pt>
                <c:pt idx="12">
                  <c:v>0.2300000000000002</c:v>
                </c:pt>
                <c:pt idx="13">
                  <c:v>0.24000000000000021</c:v>
                </c:pt>
                <c:pt idx="14">
                  <c:v>0.26000000000000023</c:v>
                </c:pt>
                <c:pt idx="15">
                  <c:v>0.30000000000000027</c:v>
                </c:pt>
                <c:pt idx="16">
                  <c:v>0.35000000000000031</c:v>
                </c:pt>
                <c:pt idx="17">
                  <c:v>0.41000000000000036</c:v>
                </c:pt>
                <c:pt idx="18">
                  <c:v>0.48000000000000043</c:v>
                </c:pt>
                <c:pt idx="19">
                  <c:v>0.55000000000000049</c:v>
                </c:pt>
                <c:pt idx="20">
                  <c:v>0.63000000000000056</c:v>
                </c:pt>
                <c:pt idx="21">
                  <c:v>0.72000000000000064</c:v>
                </c:pt>
                <c:pt idx="22">
                  <c:v>0.81000000000000072</c:v>
                </c:pt>
                <c:pt idx="23">
                  <c:v>0.91000000000000081</c:v>
                </c:pt>
                <c:pt idx="24">
                  <c:v>1.0100000000000009</c:v>
                </c:pt>
                <c:pt idx="25">
                  <c:v>1.120000000000001</c:v>
                </c:pt>
                <c:pt idx="26">
                  <c:v>1.2300000000000011</c:v>
                </c:pt>
                <c:pt idx="27">
                  <c:v>1.3500000000000012</c:v>
                </c:pt>
                <c:pt idx="28">
                  <c:v>1.4700000000000013</c:v>
                </c:pt>
                <c:pt idx="29">
                  <c:v>1.5900000000000014</c:v>
                </c:pt>
                <c:pt idx="30">
                  <c:v>1.7200000000000013</c:v>
                </c:pt>
                <c:pt idx="31">
                  <c:v>1.8500000000000012</c:v>
                </c:pt>
                <c:pt idx="32">
                  <c:v>1.4800000000000011</c:v>
                </c:pt>
                <c:pt idx="33">
                  <c:v>1.1200000000000012</c:v>
                </c:pt>
                <c:pt idx="34">
                  <c:v>0.76000000000000134</c:v>
                </c:pt>
                <c:pt idx="35">
                  <c:v>0.40000000000000147</c:v>
                </c:pt>
                <c:pt idx="36">
                  <c:v>1.0000000000001563E-2</c:v>
                </c:pt>
                <c:pt idx="37">
                  <c:v>9.0000000000001634E-2</c:v>
                </c:pt>
                <c:pt idx="38">
                  <c:v>0.13000000000000167</c:v>
                </c:pt>
                <c:pt idx="39">
                  <c:v>0.17000000000000171</c:v>
                </c:pt>
                <c:pt idx="40">
                  <c:v>0.22000000000000175</c:v>
                </c:pt>
                <c:pt idx="41">
                  <c:v>0.2800000000000018</c:v>
                </c:pt>
                <c:pt idx="42">
                  <c:v>0.35000000000000187</c:v>
                </c:pt>
                <c:pt idx="43">
                  <c:v>0.43000000000000194</c:v>
                </c:pt>
                <c:pt idx="44">
                  <c:v>0.51000000000000201</c:v>
                </c:pt>
                <c:pt idx="45">
                  <c:v>0.60000000000000209</c:v>
                </c:pt>
                <c:pt idx="46">
                  <c:v>0.69000000000000217</c:v>
                </c:pt>
                <c:pt idx="47">
                  <c:v>0.74000000000000221</c:v>
                </c:pt>
                <c:pt idx="48">
                  <c:v>0.7300000000000022</c:v>
                </c:pt>
                <c:pt idx="49">
                  <c:v>0.63000000000000234</c:v>
                </c:pt>
                <c:pt idx="50">
                  <c:v>0.41000000000000236</c:v>
                </c:pt>
                <c:pt idx="51">
                  <c:v>1.0000000000002451E-2</c:v>
                </c:pt>
                <c:pt idx="52">
                  <c:v>0.13000000000000245</c:v>
                </c:pt>
                <c:pt idx="53">
                  <c:v>0.15000000000000244</c:v>
                </c:pt>
                <c:pt idx="54">
                  <c:v>0.15000000000000244</c:v>
                </c:pt>
                <c:pt idx="55">
                  <c:v>0.15000000000000244</c:v>
                </c:pt>
                <c:pt idx="56">
                  <c:v>0.15000000000000244</c:v>
                </c:pt>
                <c:pt idx="57">
                  <c:v>0.15000000000000244</c:v>
                </c:pt>
                <c:pt idx="58">
                  <c:v>0.15000000000000244</c:v>
                </c:pt>
                <c:pt idx="59">
                  <c:v>0.15000000000000244</c:v>
                </c:pt>
                <c:pt idx="60">
                  <c:v>0.15000000000000244</c:v>
                </c:pt>
                <c:pt idx="61">
                  <c:v>0.15000000000000244</c:v>
                </c:pt>
                <c:pt idx="62">
                  <c:v>0.15000000000000244</c:v>
                </c:pt>
                <c:pt idx="63">
                  <c:v>0.15000000000000244</c:v>
                </c:pt>
                <c:pt idx="64">
                  <c:v>0.15000000000000244</c:v>
                </c:pt>
                <c:pt idx="65">
                  <c:v>0.15000000000000244</c:v>
                </c:pt>
                <c:pt idx="66">
                  <c:v>0.15000000000000244</c:v>
                </c:pt>
                <c:pt idx="67">
                  <c:v>0.15000000000000244</c:v>
                </c:pt>
                <c:pt idx="68">
                  <c:v>0.15000000000000244</c:v>
                </c:pt>
                <c:pt idx="69">
                  <c:v>0.15000000000000244</c:v>
                </c:pt>
                <c:pt idx="70">
                  <c:v>0.15000000000000244</c:v>
                </c:pt>
                <c:pt idx="71">
                  <c:v>0.15000000000000244</c:v>
                </c:pt>
                <c:pt idx="72">
                  <c:v>0.15000000000000244</c:v>
                </c:pt>
                <c:pt idx="73">
                  <c:v>0.15000000000000244</c:v>
                </c:pt>
                <c:pt idx="74">
                  <c:v>0.15000000000000244</c:v>
                </c:pt>
                <c:pt idx="75">
                  <c:v>0.15000000000000244</c:v>
                </c:pt>
                <c:pt idx="76">
                  <c:v>0.15000000000000244</c:v>
                </c:pt>
                <c:pt idx="77">
                  <c:v>0.15000000000000244</c:v>
                </c:pt>
                <c:pt idx="78">
                  <c:v>0.15000000000000244</c:v>
                </c:pt>
                <c:pt idx="79">
                  <c:v>0.15000000000000244</c:v>
                </c:pt>
                <c:pt idx="80">
                  <c:v>0.15000000000000244</c:v>
                </c:pt>
                <c:pt idx="81">
                  <c:v>0.15000000000000244</c:v>
                </c:pt>
                <c:pt idx="82">
                  <c:v>0.15000000000000244</c:v>
                </c:pt>
                <c:pt idx="83">
                  <c:v>0.15000000000000244</c:v>
                </c:pt>
                <c:pt idx="84">
                  <c:v>0.15000000000000244</c:v>
                </c:pt>
                <c:pt idx="85">
                  <c:v>0.15000000000000244</c:v>
                </c:pt>
                <c:pt idx="86">
                  <c:v>0.15000000000000244</c:v>
                </c:pt>
                <c:pt idx="87">
                  <c:v>0.15000000000000244</c:v>
                </c:pt>
                <c:pt idx="88">
                  <c:v>0.15000000000000244</c:v>
                </c:pt>
                <c:pt idx="89">
                  <c:v>0.15000000000000244</c:v>
                </c:pt>
                <c:pt idx="90">
                  <c:v>0.15000000000000244</c:v>
                </c:pt>
                <c:pt idx="91">
                  <c:v>0.15000000000000244</c:v>
                </c:pt>
                <c:pt idx="92">
                  <c:v>0.15000000000000244</c:v>
                </c:pt>
                <c:pt idx="93">
                  <c:v>0.15000000000000244</c:v>
                </c:pt>
                <c:pt idx="94">
                  <c:v>0.15000000000000244</c:v>
                </c:pt>
                <c:pt idx="95">
                  <c:v>0.15000000000000244</c:v>
                </c:pt>
                <c:pt idx="96">
                  <c:v>0.15000000000000244</c:v>
                </c:pt>
                <c:pt idx="97">
                  <c:v>0.15000000000000244</c:v>
                </c:pt>
                <c:pt idx="98">
                  <c:v>0.15000000000000244</c:v>
                </c:pt>
                <c:pt idx="99">
                  <c:v>0.15000000000000244</c:v>
                </c:pt>
                <c:pt idx="100">
                  <c:v>0.15000000000000244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Simulation!$AP$1</c:f>
              <c:strCache>
                <c:ptCount val="1"/>
                <c:pt idx="0">
                  <c:v>I(t) Simulation</c:v>
                </c:pt>
              </c:strCache>
            </c:strRef>
          </c:tx>
          <c:spPr>
            <a:ln>
              <a:prstDash val="dash"/>
            </a:ln>
          </c:spPr>
          <c:marker>
            <c:symbol val="none"/>
          </c:marker>
          <c:cat>
            <c:strRef>
              <c:f>Simulation!$A$2:$A$106</c:f>
              <c:strCach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--&gt;   Overall calculation time = 35711 ms = 0.595 min</c:v>
                </c:pt>
                <c:pt idx="102">
                  <c:v>      Evaluation method: Simulation</c:v>
                </c:pt>
                <c:pt idx="103">
                  <c:v>      Input: Number of replications: 1000000</c:v>
                </c:pt>
                <c:pt idx="104">
                  <c:v>      Input: Confidence level in the calculation of the confidence intervals: 0.01</c:v>
                </c:pt>
              </c:strCache>
            </c:strRef>
          </c:cat>
          <c:val>
            <c:numRef>
              <c:f>Simulation!$AP$2:$AP$106</c:f>
              <c:numCache>
                <c:formatCode>General</c:formatCode>
                <c:ptCount val="10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0.12686</c:v>
                </c:pt>
                <c:pt idx="6">
                  <c:v>0.45801199999999997</c:v>
                </c:pt>
                <c:pt idx="7">
                  <c:v>0.23250799999999994</c:v>
                </c:pt>
                <c:pt idx="8">
                  <c:v>8.9907999999999988E-2</c:v>
                </c:pt>
                <c:pt idx="9">
                  <c:v>2.7829999999999799E-3</c:v>
                </c:pt>
                <c:pt idx="10">
                  <c:v>-4.6991999999999923E-2</c:v>
                </c:pt>
                <c:pt idx="11">
                  <c:v>-6.69519999999999E-2</c:v>
                </c:pt>
                <c:pt idx="12">
                  <c:v>-6.5955999999999904E-2</c:v>
                </c:pt>
                <c:pt idx="13">
                  <c:v>-4.476699999999989E-2</c:v>
                </c:pt>
                <c:pt idx="14">
                  <c:v>-6.8979999999998487E-3</c:v>
                </c:pt>
                <c:pt idx="15">
                  <c:v>4.4496000000000202E-2</c:v>
                </c:pt>
                <c:pt idx="16">
                  <c:v>0.10489400000000026</c:v>
                </c:pt>
                <c:pt idx="17">
                  <c:v>0.17698400000000036</c:v>
                </c:pt>
                <c:pt idx="18">
                  <c:v>0.25791900000000045</c:v>
                </c:pt>
                <c:pt idx="19">
                  <c:v>0.34515800000000052</c:v>
                </c:pt>
                <c:pt idx="20">
                  <c:v>0.43936100000000056</c:v>
                </c:pt>
                <c:pt idx="21">
                  <c:v>0.54229800000000061</c:v>
                </c:pt>
                <c:pt idx="22">
                  <c:v>0.65179800000000054</c:v>
                </c:pt>
                <c:pt idx="23">
                  <c:v>0.7658040000000006</c:v>
                </c:pt>
                <c:pt idx="24">
                  <c:v>0.88375800000000049</c:v>
                </c:pt>
                <c:pt idx="25">
                  <c:v>1.0068040000000005</c:v>
                </c:pt>
                <c:pt idx="26">
                  <c:v>1.1350310000000006</c:v>
                </c:pt>
                <c:pt idx="27">
                  <c:v>1.2676160000000005</c:v>
                </c:pt>
                <c:pt idx="28">
                  <c:v>1.4009880000000006</c:v>
                </c:pt>
                <c:pt idx="29">
                  <c:v>1.5398050000000005</c:v>
                </c:pt>
                <c:pt idx="30">
                  <c:v>1.6833770000000003</c:v>
                </c:pt>
                <c:pt idx="31">
                  <c:v>1.8270250000000001</c:v>
                </c:pt>
                <c:pt idx="32">
                  <c:v>1.4720990000000003</c:v>
                </c:pt>
                <c:pt idx="33">
                  <c:v>1.1215970000000002</c:v>
                </c:pt>
                <c:pt idx="34">
                  <c:v>0.7727320000000002</c:v>
                </c:pt>
                <c:pt idx="35">
                  <c:v>0.42609800000000031</c:v>
                </c:pt>
                <c:pt idx="36">
                  <c:v>1.3425000000000464E-2</c:v>
                </c:pt>
                <c:pt idx="37">
                  <c:v>-2.0663999999999461E-2</c:v>
                </c:pt>
                <c:pt idx="38">
                  <c:v>-0.15989899999999946</c:v>
                </c:pt>
                <c:pt idx="39">
                  <c:v>-0.25214299999999945</c:v>
                </c:pt>
                <c:pt idx="40">
                  <c:v>-0.25041399999999936</c:v>
                </c:pt>
                <c:pt idx="41">
                  <c:v>-0.20899299999999932</c:v>
                </c:pt>
                <c:pt idx="42">
                  <c:v>-0.14403599999999928</c:v>
                </c:pt>
                <c:pt idx="43">
                  <c:v>-6.1990999999999241E-2</c:v>
                </c:pt>
                <c:pt idx="44">
                  <c:v>3.0602000000000795E-2</c:v>
                </c:pt>
                <c:pt idx="45">
                  <c:v>0.13248200000000088</c:v>
                </c:pt>
                <c:pt idx="46">
                  <c:v>0.23132800000000087</c:v>
                </c:pt>
                <c:pt idx="47">
                  <c:v>0.24577300000000091</c:v>
                </c:pt>
                <c:pt idx="48">
                  <c:v>0.12221500000000096</c:v>
                </c:pt>
                <c:pt idx="49">
                  <c:v>-0.11889999999999901</c:v>
                </c:pt>
                <c:pt idx="50">
                  <c:v>-0.45392999999999895</c:v>
                </c:pt>
                <c:pt idx="51">
                  <c:v>-0.8649929999999989</c:v>
                </c:pt>
                <c:pt idx="52">
                  <c:v>-0.6375019999999989</c:v>
                </c:pt>
                <c:pt idx="53">
                  <c:v>-0.45937499999999887</c:v>
                </c:pt>
                <c:pt idx="54">
                  <c:v>-0.31979699999999889</c:v>
                </c:pt>
                <c:pt idx="55">
                  <c:v>-0.21077299999999888</c:v>
                </c:pt>
                <c:pt idx="56">
                  <c:v>-0.12619799999999887</c:v>
                </c:pt>
                <c:pt idx="57">
                  <c:v>-5.9986999999998861E-2</c:v>
                </c:pt>
                <c:pt idx="58">
                  <c:v>-9.2629999999988624E-3</c:v>
                </c:pt>
                <c:pt idx="59">
                  <c:v>2.9887000000001135E-2</c:v>
                </c:pt>
                <c:pt idx="60">
                  <c:v>6.006400000000113E-2</c:v>
                </c:pt>
                <c:pt idx="61">
                  <c:v>8.2902000000001128E-2</c:v>
                </c:pt>
                <c:pt idx="62">
                  <c:v>0.10075900000000113</c:v>
                </c:pt>
                <c:pt idx="63">
                  <c:v>0.11418500000000112</c:v>
                </c:pt>
                <c:pt idx="64">
                  <c:v>0.12436000000000112</c:v>
                </c:pt>
                <c:pt idx="65">
                  <c:v>0.13197100000000112</c:v>
                </c:pt>
                <c:pt idx="66">
                  <c:v>0.13773500000000111</c:v>
                </c:pt>
                <c:pt idx="67">
                  <c:v>0.14198300000000111</c:v>
                </c:pt>
                <c:pt idx="68">
                  <c:v>0.1451130000000011</c:v>
                </c:pt>
                <c:pt idx="69">
                  <c:v>0.14750700000000111</c:v>
                </c:pt>
                <c:pt idx="70">
                  <c:v>0.1492710000000011</c:v>
                </c:pt>
                <c:pt idx="71">
                  <c:v>0.1505240000000011</c:v>
                </c:pt>
                <c:pt idx="72">
                  <c:v>0.15142700000000109</c:v>
                </c:pt>
                <c:pt idx="73">
                  <c:v>0.1520780000000011</c:v>
                </c:pt>
                <c:pt idx="74">
                  <c:v>0.15256300000000111</c:v>
                </c:pt>
                <c:pt idx="75">
                  <c:v>0.15289400000000111</c:v>
                </c:pt>
                <c:pt idx="76">
                  <c:v>0.15315300000000112</c:v>
                </c:pt>
                <c:pt idx="77">
                  <c:v>0.15329900000000113</c:v>
                </c:pt>
                <c:pt idx="78">
                  <c:v>0.15340500000000112</c:v>
                </c:pt>
                <c:pt idx="79">
                  <c:v>0.15346500000000113</c:v>
                </c:pt>
                <c:pt idx="80">
                  <c:v>0.15351100000000112</c:v>
                </c:pt>
                <c:pt idx="81">
                  <c:v>0.15355000000000113</c:v>
                </c:pt>
                <c:pt idx="82">
                  <c:v>0.15358800000000114</c:v>
                </c:pt>
                <c:pt idx="83">
                  <c:v>0.15361500000000114</c:v>
                </c:pt>
                <c:pt idx="84">
                  <c:v>0.15363300000000113</c:v>
                </c:pt>
                <c:pt idx="85">
                  <c:v>0.15364300000000114</c:v>
                </c:pt>
                <c:pt idx="86">
                  <c:v>0.15365000000000115</c:v>
                </c:pt>
                <c:pt idx="87">
                  <c:v>0.15365100000000115</c:v>
                </c:pt>
                <c:pt idx="88">
                  <c:v>0.15365400000000115</c:v>
                </c:pt>
                <c:pt idx="89">
                  <c:v>0.15365400000000115</c:v>
                </c:pt>
                <c:pt idx="90">
                  <c:v>0.15365400000000115</c:v>
                </c:pt>
                <c:pt idx="91">
                  <c:v>0.15365400000000115</c:v>
                </c:pt>
                <c:pt idx="92">
                  <c:v>0.15365400000000115</c:v>
                </c:pt>
                <c:pt idx="93">
                  <c:v>0.15365400000000115</c:v>
                </c:pt>
                <c:pt idx="94">
                  <c:v>0.15365400000000115</c:v>
                </c:pt>
                <c:pt idx="95">
                  <c:v>0.15365400000000115</c:v>
                </c:pt>
                <c:pt idx="96">
                  <c:v>0.15365400000000115</c:v>
                </c:pt>
                <c:pt idx="97">
                  <c:v>0.15365400000000115</c:v>
                </c:pt>
                <c:pt idx="98">
                  <c:v>0.15365400000000115</c:v>
                </c:pt>
                <c:pt idx="99">
                  <c:v>0.15365400000000115</c:v>
                </c:pt>
                <c:pt idx="100">
                  <c:v>0.15365400000000115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Simulation!$AQ$1</c:f>
              <c:strCache>
                <c:ptCount val="1"/>
                <c:pt idx="0">
                  <c:v>Ls(t) SBC</c:v>
                </c:pt>
              </c:strCache>
            </c:strRef>
          </c:tx>
          <c:spPr>
            <a:ln>
              <a:solidFill>
                <a:srgbClr val="7030A0"/>
              </a:solidFill>
              <a:prstDash val="solid"/>
            </a:ln>
          </c:spPr>
          <c:marker>
            <c:symbol val="none"/>
          </c:marker>
          <c:cat>
            <c:strRef>
              <c:f>Simulation!$A$2:$A$106</c:f>
              <c:strCach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--&gt;   Overall calculation time = 35711 ms = 0.595 min</c:v>
                </c:pt>
                <c:pt idx="102">
                  <c:v>      Evaluation method: Simulation</c:v>
                </c:pt>
                <c:pt idx="103">
                  <c:v>      Input: Number of replications: 1000000</c:v>
                </c:pt>
                <c:pt idx="104">
                  <c:v>      Input: Confidence level in the calculation of the confidence intervals: 0.01</c:v>
                </c:pt>
              </c:strCache>
            </c:strRef>
          </c:cat>
          <c:val>
            <c:numRef>
              <c:f>Simulation!$AQ$2:$AQ$106</c:f>
              <c:numCache>
                <c:formatCode>General</c:formatCode>
                <c:ptCount val="10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0.37</c:v>
                </c:pt>
                <c:pt idx="6">
                  <c:v>0.77</c:v>
                </c:pt>
                <c:pt idx="7">
                  <c:v>1.0900000000000001</c:v>
                </c:pt>
                <c:pt idx="8">
                  <c:v>1.37</c:v>
                </c:pt>
                <c:pt idx="9">
                  <c:v>1.62</c:v>
                </c:pt>
                <c:pt idx="10">
                  <c:v>1.85</c:v>
                </c:pt>
                <c:pt idx="11">
                  <c:v>2.06</c:v>
                </c:pt>
                <c:pt idx="12">
                  <c:v>2.2599999999999998</c:v>
                </c:pt>
                <c:pt idx="13">
                  <c:v>2.4500000000000002</c:v>
                </c:pt>
                <c:pt idx="14">
                  <c:v>2.62</c:v>
                </c:pt>
                <c:pt idx="15">
                  <c:v>2.79</c:v>
                </c:pt>
                <c:pt idx="16">
                  <c:v>2.95</c:v>
                </c:pt>
                <c:pt idx="17">
                  <c:v>3.11</c:v>
                </c:pt>
                <c:pt idx="18">
                  <c:v>3.26</c:v>
                </c:pt>
                <c:pt idx="19">
                  <c:v>3.4</c:v>
                </c:pt>
                <c:pt idx="20">
                  <c:v>3.54</c:v>
                </c:pt>
                <c:pt idx="21">
                  <c:v>3.68</c:v>
                </c:pt>
                <c:pt idx="22">
                  <c:v>3.81</c:v>
                </c:pt>
                <c:pt idx="23">
                  <c:v>3.94</c:v>
                </c:pt>
                <c:pt idx="24">
                  <c:v>4.0599999999999996</c:v>
                </c:pt>
                <c:pt idx="25">
                  <c:v>4.18</c:v>
                </c:pt>
                <c:pt idx="26">
                  <c:v>4.3</c:v>
                </c:pt>
                <c:pt idx="27">
                  <c:v>4.42</c:v>
                </c:pt>
                <c:pt idx="28">
                  <c:v>4.53</c:v>
                </c:pt>
                <c:pt idx="29">
                  <c:v>4.6500000000000004</c:v>
                </c:pt>
                <c:pt idx="30">
                  <c:v>4.76</c:v>
                </c:pt>
                <c:pt idx="31">
                  <c:v>4.8600000000000003</c:v>
                </c:pt>
                <c:pt idx="32">
                  <c:v>4.97</c:v>
                </c:pt>
                <c:pt idx="33">
                  <c:v>5.07</c:v>
                </c:pt>
                <c:pt idx="34">
                  <c:v>5.17</c:v>
                </c:pt>
                <c:pt idx="35">
                  <c:v>5.22</c:v>
                </c:pt>
                <c:pt idx="36">
                  <c:v>4.38</c:v>
                </c:pt>
                <c:pt idx="37">
                  <c:v>3.57</c:v>
                </c:pt>
                <c:pt idx="38">
                  <c:v>2.79</c:v>
                </c:pt>
                <c:pt idx="39">
                  <c:v>2.88</c:v>
                </c:pt>
                <c:pt idx="40">
                  <c:v>3.04</c:v>
                </c:pt>
                <c:pt idx="41">
                  <c:v>3.19</c:v>
                </c:pt>
                <c:pt idx="42">
                  <c:v>3.34</c:v>
                </c:pt>
                <c:pt idx="43">
                  <c:v>3.48</c:v>
                </c:pt>
                <c:pt idx="44">
                  <c:v>3.62</c:v>
                </c:pt>
                <c:pt idx="45">
                  <c:v>3.75</c:v>
                </c:pt>
                <c:pt idx="46">
                  <c:v>3.74</c:v>
                </c:pt>
                <c:pt idx="47">
                  <c:v>2.95</c:v>
                </c:pt>
                <c:pt idx="48">
                  <c:v>2.2000000000000002</c:v>
                </c:pt>
                <c:pt idx="49">
                  <c:v>1.52</c:v>
                </c:pt>
                <c:pt idx="50">
                  <c:v>0.91</c:v>
                </c:pt>
                <c:pt idx="51">
                  <c:v>0.44</c:v>
                </c:pt>
                <c:pt idx="52">
                  <c:v>0.13</c:v>
                </c:pt>
                <c:pt idx="53">
                  <c:v>0.02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Simulation!$AR$1</c:f>
              <c:strCache>
                <c:ptCount val="1"/>
                <c:pt idx="0">
                  <c:v>Ls(t) Simulation</c:v>
                </c:pt>
              </c:strCache>
            </c:strRef>
          </c:tx>
          <c:spPr>
            <a:ln>
              <a:prstDash val="dash"/>
            </a:ln>
          </c:spPr>
          <c:marker>
            <c:symbol val="none"/>
          </c:marker>
          <c:cat>
            <c:strRef>
              <c:f>Simulation!$A$2:$A$106</c:f>
              <c:strCach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--&gt;   Overall calculation time = 35711 ms = 0.595 min</c:v>
                </c:pt>
                <c:pt idx="102">
                  <c:v>      Evaluation method: Simulation</c:v>
                </c:pt>
                <c:pt idx="103">
                  <c:v>      Input: Number of replications: 1000000</c:v>
                </c:pt>
                <c:pt idx="104">
                  <c:v>      Input: Confidence level in the calculation of the confidence intervals: 0.01</c:v>
                </c:pt>
              </c:strCache>
            </c:strRef>
          </c:cat>
          <c:val>
            <c:numRef>
              <c:f>Simulation!$AR$2:$AR$106</c:f>
              <c:numCache>
                <c:formatCode>General</c:formatCode>
                <c:ptCount val="10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0.139190377971255</c:v>
                </c:pt>
                <c:pt idx="6">
                  <c:v>0.43114153307283998</c:v>
                </c:pt>
                <c:pt idx="7">
                  <c:v>0.73882175996827304</c:v>
                </c:pt>
                <c:pt idx="8">
                  <c:v>0.999985440747853</c:v>
                </c:pt>
                <c:pt idx="9">
                  <c:v>1.2295154372016399</c:v>
                </c:pt>
                <c:pt idx="10">
                  <c:v>1.43743748097319</c:v>
                </c:pt>
                <c:pt idx="11">
                  <c:v>1.62563549001615</c:v>
                </c:pt>
                <c:pt idx="12">
                  <c:v>1.79979966850016</c:v>
                </c:pt>
                <c:pt idx="13">
                  <c:v>1.96313699308805</c:v>
                </c:pt>
                <c:pt idx="14">
                  <c:v>2.1186553766579599</c:v>
                </c:pt>
                <c:pt idx="15">
                  <c:v>2.2631740330790402</c:v>
                </c:pt>
                <c:pt idx="16">
                  <c:v>2.40073910919658</c:v>
                </c:pt>
                <c:pt idx="17">
                  <c:v>2.5340916074926598</c:v>
                </c:pt>
                <c:pt idx="18">
                  <c:v>2.66186844632997</c:v>
                </c:pt>
                <c:pt idx="19">
                  <c:v>2.7884695100626402</c:v>
                </c:pt>
                <c:pt idx="20">
                  <c:v>2.9070375657046301</c:v>
                </c:pt>
                <c:pt idx="21">
                  <c:v>3.02505478234196</c:v>
                </c:pt>
                <c:pt idx="22">
                  <c:v>3.1398857697393798</c:v>
                </c:pt>
                <c:pt idx="23">
                  <c:v>3.2479776555900499</c:v>
                </c:pt>
                <c:pt idx="24">
                  <c:v>3.3516328732436</c:v>
                </c:pt>
                <c:pt idx="25">
                  <c:v>3.4524352081927798</c:v>
                </c:pt>
                <c:pt idx="26">
                  <c:v>3.5529327234180101</c:v>
                </c:pt>
                <c:pt idx="27">
                  <c:v>3.6543846021009898</c:v>
                </c:pt>
                <c:pt idx="28">
                  <c:v>3.75007888915736</c:v>
                </c:pt>
                <c:pt idx="29">
                  <c:v>3.8441279587031998</c:v>
                </c:pt>
                <c:pt idx="30">
                  <c:v>3.9312798480735802</c:v>
                </c:pt>
                <c:pt idx="31">
                  <c:v>4.0162623980273597</c:v>
                </c:pt>
                <c:pt idx="32">
                  <c:v>4.1066721079169897</c:v>
                </c:pt>
                <c:pt idx="33">
                  <c:v>4.1991271973331301</c:v>
                </c:pt>
                <c:pt idx="34">
                  <c:v>4.2886196687497602</c:v>
                </c:pt>
                <c:pt idx="35">
                  <c:v>4.3502268501255701</c:v>
                </c:pt>
                <c:pt idx="36">
                  <c:v>3.96497592829793</c:v>
                </c:pt>
                <c:pt idx="37">
                  <c:v>3.2392757959749998</c:v>
                </c:pt>
                <c:pt idx="38">
                  <c:v>2.6269178949171699</c:v>
                </c:pt>
                <c:pt idx="39">
                  <c:v>2.4788396660237502</c:v>
                </c:pt>
                <c:pt idx="40">
                  <c:v>2.6823261397969498</c:v>
                </c:pt>
                <c:pt idx="41">
                  <c:v>2.8576512151513902</c:v>
                </c:pt>
                <c:pt idx="42">
                  <c:v>3.0074963729694701</c:v>
                </c:pt>
                <c:pt idx="43">
                  <c:v>3.1434196250289399</c:v>
                </c:pt>
                <c:pt idx="44">
                  <c:v>3.2651566100698699</c:v>
                </c:pt>
                <c:pt idx="45">
                  <c:v>3.3835810404722801</c:v>
                </c:pt>
                <c:pt idx="46">
                  <c:v>3.4301346959962702</c:v>
                </c:pt>
                <c:pt idx="47">
                  <c:v>3.0521695565849001</c:v>
                </c:pt>
                <c:pt idx="48">
                  <c:v>2.40877226343992</c:v>
                </c:pt>
                <c:pt idx="49">
                  <c:v>1.8933246173859499</c:v>
                </c:pt>
                <c:pt idx="50">
                  <c:v>1.48306385548109</c:v>
                </c:pt>
                <c:pt idx="51">
                  <c:v>1.15747762755704</c:v>
                </c:pt>
                <c:pt idx="52">
                  <c:v>0.90023458192863304</c:v>
                </c:pt>
                <c:pt idx="53">
                  <c:v>0.698393177375356</c:v>
                </c:pt>
                <c:pt idx="54">
                  <c:v>0.54048716328839996</c:v>
                </c:pt>
                <c:pt idx="55">
                  <c:v>0.416672619722259</c:v>
                </c:pt>
                <c:pt idx="56">
                  <c:v>0.32030653063132702</c:v>
                </c:pt>
                <c:pt idx="57">
                  <c:v>0.245206978035162</c:v>
                </c:pt>
                <c:pt idx="58">
                  <c:v>0.18723968059976101</c:v>
                </c:pt>
                <c:pt idx="59">
                  <c:v>0.142524840137218</c:v>
                </c:pt>
                <c:pt idx="60">
                  <c:v>0.10797541876634</c:v>
                </c:pt>
                <c:pt idx="61">
                  <c:v>8.1620915393736698E-2</c:v>
                </c:pt>
                <c:pt idx="62">
                  <c:v>6.14095757303404E-2</c:v>
                </c:pt>
                <c:pt idx="63">
                  <c:v>4.5886671719887202E-2</c:v>
                </c:pt>
                <c:pt idx="64">
                  <c:v>3.4138587188071799E-2</c:v>
                </c:pt>
                <c:pt idx="65">
                  <c:v>2.5278605494756301E-2</c:v>
                </c:pt>
                <c:pt idx="66">
                  <c:v>1.86323791611217E-2</c:v>
                </c:pt>
                <c:pt idx="67">
                  <c:v>1.36863937937857E-2</c:v>
                </c:pt>
                <c:pt idx="68">
                  <c:v>1.0073354906880799E-2</c:v>
                </c:pt>
                <c:pt idx="69">
                  <c:v>7.2875789350618798E-3</c:v>
                </c:pt>
                <c:pt idx="70">
                  <c:v>5.2158633411472097E-3</c:v>
                </c:pt>
                <c:pt idx="71">
                  <c:v>3.7220691315205299E-3</c:v>
                </c:pt>
                <c:pt idx="72">
                  <c:v>2.6610372906505802E-3</c:v>
                </c:pt>
                <c:pt idx="73">
                  <c:v>1.86503176445715E-3</c:v>
                </c:pt>
                <c:pt idx="74">
                  <c:v>1.3110151377598799E-3</c:v>
                </c:pt>
                <c:pt idx="75">
                  <c:v>9.1421689035701297E-4</c:v>
                </c:pt>
                <c:pt idx="76">
                  <c:v>6.2325672637473595E-4</c:v>
                </c:pt>
                <c:pt idx="77">
                  <c:v>4.2797745783784198E-4</c:v>
                </c:pt>
                <c:pt idx="78">
                  <c:v>2.9854061923673299E-4</c:v>
                </c:pt>
                <c:pt idx="79">
                  <c:v>2.1604859526598599E-4</c:v>
                </c:pt>
                <c:pt idx="80">
                  <c:v>1.6184756064955801E-4</c:v>
                </c:pt>
                <c:pt idx="81">
                  <c:v>1.21179742883652E-4</c:v>
                </c:pt>
                <c:pt idx="82">
                  <c:v>8.5844792591807805E-5</c:v>
                </c:pt>
                <c:pt idx="83">
                  <c:v>5.4169992247053798E-5</c:v>
                </c:pt>
                <c:pt idx="84">
                  <c:v>3.1607308174136997E-5</c:v>
                </c:pt>
                <c:pt idx="85">
                  <c:v>1.51190162869416E-5</c:v>
                </c:pt>
                <c:pt idx="86">
                  <c:v>6.9577387482246101E-6</c:v>
                </c:pt>
                <c:pt idx="87">
                  <c:v>3.8047339013271299E-6</c:v>
                </c:pt>
                <c:pt idx="88">
                  <c:v>9.6910083212270502E-7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376960"/>
        <c:axId val="102383616"/>
      </c:lineChart>
      <c:catAx>
        <c:axId val="102376960"/>
        <c:scaling>
          <c:orientation val="minMax"/>
        </c:scaling>
        <c:delete val="0"/>
        <c:axPos val="b"/>
        <c:majorTickMark val="out"/>
        <c:minorTickMark val="none"/>
        <c:tickLblPos val="nextTo"/>
        <c:crossAx val="102383616"/>
        <c:crosses val="autoZero"/>
        <c:auto val="1"/>
        <c:lblAlgn val="ctr"/>
        <c:lblOffset val="100"/>
        <c:tickLblSkip val="10"/>
        <c:noMultiLvlLbl val="0"/>
      </c:catAx>
      <c:valAx>
        <c:axId val="102383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23769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9.8005385867728778E-2"/>
          <c:y val="0.82798164742003089"/>
          <c:w val="0.81313462280153859"/>
          <c:h val="0.14724955656556071"/>
        </c:manualLayout>
      </c:layout>
      <c:overlay val="0"/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A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2"/>
          <c:order val="0"/>
          <c:tx>
            <c:v>Lambda (SBC)</c:v>
          </c:tx>
          <c:spPr>
            <a:ln w="254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SBC!$B$2:$B$102</c:f>
              <c:numCache>
                <c:formatCode>General</c:formatCode>
                <c:ptCount val="1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</c:numCache>
            </c:numRef>
          </c:xVal>
          <c:yVal>
            <c:numRef>
              <c:f>SBC!$E$2:$E$102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0.37</c:v>
                </c:pt>
                <c:pt idx="5">
                  <c:v>0.67</c:v>
                </c:pt>
                <c:pt idx="6">
                  <c:v>0.76</c:v>
                </c:pt>
                <c:pt idx="7">
                  <c:v>0.8</c:v>
                </c:pt>
                <c:pt idx="8">
                  <c:v>0.83</c:v>
                </c:pt>
                <c:pt idx="9">
                  <c:v>0.85</c:v>
                </c:pt>
                <c:pt idx="10">
                  <c:v>0.86</c:v>
                </c:pt>
                <c:pt idx="11">
                  <c:v>0.87</c:v>
                </c:pt>
                <c:pt idx="12">
                  <c:v>0.88</c:v>
                </c:pt>
                <c:pt idx="13">
                  <c:v>0.89</c:v>
                </c:pt>
                <c:pt idx="14">
                  <c:v>0.89</c:v>
                </c:pt>
                <c:pt idx="15">
                  <c:v>0.9</c:v>
                </c:pt>
                <c:pt idx="16">
                  <c:v>0.9</c:v>
                </c:pt>
                <c:pt idx="17">
                  <c:v>0.91</c:v>
                </c:pt>
                <c:pt idx="18">
                  <c:v>0.91</c:v>
                </c:pt>
                <c:pt idx="19">
                  <c:v>0.91</c:v>
                </c:pt>
                <c:pt idx="20">
                  <c:v>0.92</c:v>
                </c:pt>
                <c:pt idx="21">
                  <c:v>0.92</c:v>
                </c:pt>
                <c:pt idx="22">
                  <c:v>0.92</c:v>
                </c:pt>
                <c:pt idx="23">
                  <c:v>0.92</c:v>
                </c:pt>
                <c:pt idx="24">
                  <c:v>0.92</c:v>
                </c:pt>
                <c:pt idx="25">
                  <c:v>0.93</c:v>
                </c:pt>
                <c:pt idx="26">
                  <c:v>0.93</c:v>
                </c:pt>
                <c:pt idx="27">
                  <c:v>0.93</c:v>
                </c:pt>
                <c:pt idx="28">
                  <c:v>0.93</c:v>
                </c:pt>
                <c:pt idx="29">
                  <c:v>0.93</c:v>
                </c:pt>
                <c:pt idx="30">
                  <c:v>0.93</c:v>
                </c:pt>
                <c:pt idx="31">
                  <c:v>0.94</c:v>
                </c:pt>
                <c:pt idx="32">
                  <c:v>0.94</c:v>
                </c:pt>
                <c:pt idx="33">
                  <c:v>0.94</c:v>
                </c:pt>
                <c:pt idx="34">
                  <c:v>0.89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0.83</c:v>
                </c:pt>
                <c:pt idx="39">
                  <c:v>0.9</c:v>
                </c:pt>
                <c:pt idx="40">
                  <c:v>0.9</c:v>
                </c:pt>
                <c:pt idx="41">
                  <c:v>0.91</c:v>
                </c:pt>
                <c:pt idx="42">
                  <c:v>0.91</c:v>
                </c:pt>
                <c:pt idx="43">
                  <c:v>0.91</c:v>
                </c:pt>
                <c:pt idx="44">
                  <c:v>0.92</c:v>
                </c:pt>
                <c:pt idx="45">
                  <c:v>0.78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</c:ser>
        <c:ser>
          <c:idx val="0"/>
          <c:order val="1"/>
          <c:tx>
            <c:v>input_arrRate (Sim)</c:v>
          </c:tx>
          <c:spPr>
            <a:ln w="25400">
              <a:solidFill>
                <a:schemeClr val="accent5">
                  <a:lumMod val="75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Simulation!$C$2:$C$102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Simulation!$F$2:$F$102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0.37</c:v>
                </c:pt>
                <c:pt idx="6">
                  <c:v>0.67</c:v>
                </c:pt>
                <c:pt idx="7">
                  <c:v>0.76</c:v>
                </c:pt>
                <c:pt idx="8">
                  <c:v>0.8</c:v>
                </c:pt>
                <c:pt idx="9">
                  <c:v>0.83</c:v>
                </c:pt>
                <c:pt idx="10">
                  <c:v>0.85</c:v>
                </c:pt>
                <c:pt idx="11">
                  <c:v>0.86</c:v>
                </c:pt>
                <c:pt idx="12">
                  <c:v>0.87</c:v>
                </c:pt>
                <c:pt idx="13">
                  <c:v>0.88</c:v>
                </c:pt>
                <c:pt idx="14">
                  <c:v>0.89</c:v>
                </c:pt>
                <c:pt idx="15">
                  <c:v>0.89</c:v>
                </c:pt>
                <c:pt idx="16">
                  <c:v>0.9</c:v>
                </c:pt>
                <c:pt idx="17">
                  <c:v>0.9</c:v>
                </c:pt>
                <c:pt idx="18">
                  <c:v>0.91</c:v>
                </c:pt>
                <c:pt idx="19">
                  <c:v>0.91</c:v>
                </c:pt>
                <c:pt idx="20">
                  <c:v>0.91</c:v>
                </c:pt>
                <c:pt idx="21">
                  <c:v>0.92</c:v>
                </c:pt>
                <c:pt idx="22">
                  <c:v>0.92</c:v>
                </c:pt>
                <c:pt idx="23">
                  <c:v>0.92</c:v>
                </c:pt>
                <c:pt idx="24">
                  <c:v>0.92</c:v>
                </c:pt>
                <c:pt idx="25">
                  <c:v>0.92</c:v>
                </c:pt>
                <c:pt idx="26">
                  <c:v>0.93</c:v>
                </c:pt>
                <c:pt idx="27">
                  <c:v>0.93</c:v>
                </c:pt>
                <c:pt idx="28">
                  <c:v>0.93</c:v>
                </c:pt>
                <c:pt idx="29">
                  <c:v>0.93</c:v>
                </c:pt>
                <c:pt idx="30">
                  <c:v>0.93</c:v>
                </c:pt>
                <c:pt idx="31">
                  <c:v>0.93</c:v>
                </c:pt>
                <c:pt idx="32">
                  <c:v>0.94</c:v>
                </c:pt>
                <c:pt idx="33">
                  <c:v>0.94</c:v>
                </c:pt>
                <c:pt idx="34">
                  <c:v>0.94</c:v>
                </c:pt>
                <c:pt idx="35">
                  <c:v>0.89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0.83</c:v>
                </c:pt>
                <c:pt idx="40">
                  <c:v>0.9</c:v>
                </c:pt>
                <c:pt idx="41">
                  <c:v>0.9</c:v>
                </c:pt>
                <c:pt idx="42">
                  <c:v>0.91</c:v>
                </c:pt>
                <c:pt idx="43">
                  <c:v>0.91</c:v>
                </c:pt>
                <c:pt idx="44">
                  <c:v>0.91</c:v>
                </c:pt>
                <c:pt idx="45">
                  <c:v>0.92</c:v>
                </c:pt>
                <c:pt idx="46">
                  <c:v>0.78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</c:ser>
        <c:ser>
          <c:idx val="1"/>
          <c:order val="2"/>
          <c:tx>
            <c:v>nrArr (Sim)</c:v>
          </c:tx>
          <c:spPr>
            <a:ln w="25400">
              <a:solidFill>
                <a:schemeClr val="accent5">
                  <a:lumMod val="75000"/>
                </a:schemeClr>
              </a:solidFill>
              <a:prstDash val="dash"/>
            </a:ln>
          </c:spPr>
          <c:marker>
            <c:symbol val="none"/>
          </c:marker>
          <c:xVal>
            <c:numRef>
              <c:f>Simulation!$C$2:$C$102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Simulation!$H$2:$H$102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0.37068899999999999</c:v>
                </c:pt>
                <c:pt idx="6">
                  <c:v>0.67381999999999997</c:v>
                </c:pt>
                <c:pt idx="7">
                  <c:v>0.761127</c:v>
                </c:pt>
                <c:pt idx="8">
                  <c:v>0.80045599999999995</c:v>
                </c:pt>
                <c:pt idx="9">
                  <c:v>0.83156799999999997</c:v>
                </c:pt>
                <c:pt idx="10">
                  <c:v>0.84939399999999998</c:v>
                </c:pt>
                <c:pt idx="11">
                  <c:v>0.85938899999999996</c:v>
                </c:pt>
                <c:pt idx="12">
                  <c:v>0.871201</c:v>
                </c:pt>
                <c:pt idx="13">
                  <c:v>0.87924999999999998</c:v>
                </c:pt>
                <c:pt idx="14">
                  <c:v>0.88955399999999996</c:v>
                </c:pt>
                <c:pt idx="15">
                  <c:v>0.88836199999999999</c:v>
                </c:pt>
                <c:pt idx="16">
                  <c:v>0.89953000000000005</c:v>
                </c:pt>
                <c:pt idx="17">
                  <c:v>0.89990700000000001</c:v>
                </c:pt>
                <c:pt idx="18">
                  <c:v>0.90902000000000005</c:v>
                </c:pt>
                <c:pt idx="19">
                  <c:v>0.91128699999999996</c:v>
                </c:pt>
                <c:pt idx="20">
                  <c:v>0.91010999999999997</c:v>
                </c:pt>
                <c:pt idx="21">
                  <c:v>0.92086100000000004</c:v>
                </c:pt>
                <c:pt idx="22">
                  <c:v>0.92102700000000004</c:v>
                </c:pt>
                <c:pt idx="23">
                  <c:v>0.91991199999999995</c:v>
                </c:pt>
                <c:pt idx="24">
                  <c:v>0.92046600000000001</c:v>
                </c:pt>
                <c:pt idx="25">
                  <c:v>0.92087699999999995</c:v>
                </c:pt>
                <c:pt idx="26">
                  <c:v>0.93176199999999998</c:v>
                </c:pt>
                <c:pt idx="27">
                  <c:v>0.92992200000000003</c:v>
                </c:pt>
                <c:pt idx="28">
                  <c:v>0.93010599999999999</c:v>
                </c:pt>
                <c:pt idx="29">
                  <c:v>0.92906500000000003</c:v>
                </c:pt>
                <c:pt idx="30">
                  <c:v>0.92853699999999995</c:v>
                </c:pt>
                <c:pt idx="31">
                  <c:v>0.92921900000000002</c:v>
                </c:pt>
                <c:pt idx="32">
                  <c:v>0.939446</c:v>
                </c:pt>
                <c:pt idx="33">
                  <c:v>0.93936799999999998</c:v>
                </c:pt>
                <c:pt idx="34">
                  <c:v>0.94061499999999998</c:v>
                </c:pt>
                <c:pt idx="35">
                  <c:v>0.88925399999999999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0.83027200000000001</c:v>
                </c:pt>
                <c:pt idx="40">
                  <c:v>0.90032400000000001</c:v>
                </c:pt>
                <c:pt idx="41">
                  <c:v>0.89906699999999995</c:v>
                </c:pt>
                <c:pt idx="42">
                  <c:v>0.909528</c:v>
                </c:pt>
                <c:pt idx="43">
                  <c:v>0.90973800000000005</c:v>
                </c:pt>
                <c:pt idx="44">
                  <c:v>0.90973999999999999</c:v>
                </c:pt>
                <c:pt idx="45">
                  <c:v>0.91947000000000001</c:v>
                </c:pt>
                <c:pt idx="46">
                  <c:v>0.78041400000000005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035648"/>
        <c:axId val="107182336"/>
      </c:scatterChart>
      <c:valAx>
        <c:axId val="107035648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07182336"/>
        <c:crosses val="autoZero"/>
        <c:crossBetween val="midCat"/>
      </c:valAx>
      <c:valAx>
        <c:axId val="107182336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#,##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07035648"/>
        <c:crosses val="autoZero"/>
        <c:crossBetween val="midCat"/>
      </c:valAx>
      <c:spPr>
        <a:ln>
          <a:solidFill>
            <a:schemeClr val="bg1">
              <a:lumMod val="75000"/>
            </a:schemeClr>
          </a:solidFill>
        </a:ln>
      </c:spPr>
    </c:plotArea>
    <c:legend>
      <c:legendPos val="r"/>
      <c:overlay val="0"/>
    </c:legend>
    <c:plotVisOnly val="1"/>
    <c:dispBlanksAs val="gap"/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A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2"/>
          <c:order val="0"/>
          <c:tx>
            <c:v>L^Q (SBC)</c:v>
          </c:tx>
          <c:spPr>
            <a:ln w="254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SBC!$B$2:$B$102</c:f>
              <c:numCache>
                <c:formatCode>General</c:formatCode>
                <c:ptCount val="1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</c:numCache>
            </c:numRef>
          </c:xVal>
          <c:yVal>
            <c:numRef>
              <c:f>SBC!$H$2:$H$102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</c:v>
                </c:pt>
                <c:pt idx="5">
                  <c:v>0.33</c:v>
                </c:pt>
                <c:pt idx="6">
                  <c:v>0.56999999999999995</c:v>
                </c:pt>
                <c:pt idx="7">
                  <c:v>0.79</c:v>
                </c:pt>
                <c:pt idx="8">
                  <c:v>1</c:v>
                </c:pt>
                <c:pt idx="9">
                  <c:v>1.2</c:v>
                </c:pt>
                <c:pt idx="10">
                  <c:v>1.39</c:v>
                </c:pt>
                <c:pt idx="11">
                  <c:v>1.57</c:v>
                </c:pt>
                <c:pt idx="12">
                  <c:v>1.74</c:v>
                </c:pt>
                <c:pt idx="13">
                  <c:v>1.9</c:v>
                </c:pt>
                <c:pt idx="14">
                  <c:v>2.06</c:v>
                </c:pt>
                <c:pt idx="15">
                  <c:v>2.21</c:v>
                </c:pt>
                <c:pt idx="16">
                  <c:v>2.35</c:v>
                </c:pt>
                <c:pt idx="17">
                  <c:v>2.4900000000000002</c:v>
                </c:pt>
                <c:pt idx="18">
                  <c:v>2.63</c:v>
                </c:pt>
                <c:pt idx="19">
                  <c:v>2.76</c:v>
                </c:pt>
                <c:pt idx="20">
                  <c:v>2.89</c:v>
                </c:pt>
                <c:pt idx="21">
                  <c:v>3.02</c:v>
                </c:pt>
                <c:pt idx="22">
                  <c:v>3.14</c:v>
                </c:pt>
                <c:pt idx="23">
                  <c:v>3.26</c:v>
                </c:pt>
                <c:pt idx="24">
                  <c:v>3.38</c:v>
                </c:pt>
                <c:pt idx="25">
                  <c:v>3.49</c:v>
                </c:pt>
                <c:pt idx="26">
                  <c:v>3.6</c:v>
                </c:pt>
                <c:pt idx="27">
                  <c:v>3.71</c:v>
                </c:pt>
                <c:pt idx="28">
                  <c:v>3.82</c:v>
                </c:pt>
                <c:pt idx="29">
                  <c:v>3.93</c:v>
                </c:pt>
                <c:pt idx="30">
                  <c:v>4.03</c:v>
                </c:pt>
                <c:pt idx="31">
                  <c:v>4.1399999999999997</c:v>
                </c:pt>
                <c:pt idx="32">
                  <c:v>4.24</c:v>
                </c:pt>
                <c:pt idx="33">
                  <c:v>4.34</c:v>
                </c:pt>
                <c:pt idx="34">
                  <c:v>4.38</c:v>
                </c:pt>
                <c:pt idx="35">
                  <c:v>3.57</c:v>
                </c:pt>
                <c:pt idx="36">
                  <c:v>2.79</c:v>
                </c:pt>
                <c:pt idx="37">
                  <c:v>2.0499999999999998</c:v>
                </c:pt>
                <c:pt idx="38">
                  <c:v>2.14</c:v>
                </c:pt>
                <c:pt idx="39">
                  <c:v>2.29</c:v>
                </c:pt>
                <c:pt idx="40">
                  <c:v>2.4300000000000002</c:v>
                </c:pt>
                <c:pt idx="41">
                  <c:v>2.57</c:v>
                </c:pt>
                <c:pt idx="42">
                  <c:v>2.7</c:v>
                </c:pt>
                <c:pt idx="43">
                  <c:v>2.83</c:v>
                </c:pt>
                <c:pt idx="44">
                  <c:v>2.96</c:v>
                </c:pt>
                <c:pt idx="45">
                  <c:v>2.95</c:v>
                </c:pt>
                <c:pt idx="46">
                  <c:v>2.2000000000000002</c:v>
                </c:pt>
                <c:pt idx="47">
                  <c:v>1.52</c:v>
                </c:pt>
                <c:pt idx="48">
                  <c:v>0.91</c:v>
                </c:pt>
                <c:pt idx="49">
                  <c:v>0.44</c:v>
                </c:pt>
                <c:pt idx="50">
                  <c:v>0.13</c:v>
                </c:pt>
                <c:pt idx="51">
                  <c:v>0.02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</c:ser>
        <c:ser>
          <c:idx val="0"/>
          <c:order val="1"/>
          <c:tx>
            <c:v>L^Q (Sim)</c:v>
          </c:tx>
          <c:spPr>
            <a:ln w="25400">
              <a:solidFill>
                <a:srgbClr val="C00000"/>
              </a:solidFill>
              <a:prstDash val="sysDash"/>
            </a:ln>
          </c:spPr>
          <c:marker>
            <c:symbol val="none"/>
          </c:marker>
          <c:xVal>
            <c:numRef>
              <c:f>Simulation!$C$2:$C$102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Simulation!$L$2:$L$102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1.3382412137087501E-2</c:v>
                </c:pt>
                <c:pt idx="6">
                  <c:v>0.10087200342175601</c:v>
                </c:pt>
                <c:pt idx="7">
                  <c:v>0.26371506186111399</c:v>
                </c:pt>
                <c:pt idx="8">
                  <c:v>0.44202020538250397</c:v>
                </c:pt>
                <c:pt idx="9">
                  <c:v>0.61715880122952105</c:v>
                </c:pt>
                <c:pt idx="10">
                  <c:v>0.78654604675193196</c:v>
                </c:pt>
                <c:pt idx="11">
                  <c:v>0.94611180602822098</c:v>
                </c:pt>
                <c:pt idx="12">
                  <c:v>1.09693620241977</c:v>
                </c:pt>
                <c:pt idx="13">
                  <c:v>1.2415168995067201</c:v>
                </c:pt>
                <c:pt idx="14">
                  <c:v>1.38123752583285</c:v>
                </c:pt>
                <c:pt idx="15">
                  <c:v>1.5129004171535301</c:v>
                </c:pt>
                <c:pt idx="16">
                  <c:v>1.6393216696338699</c:v>
                </c:pt>
                <c:pt idx="17">
                  <c:v>1.7626762035282799</c:v>
                </c:pt>
                <c:pt idx="18">
                  <c:v>1.88182902327261</c:v>
                </c:pt>
                <c:pt idx="19">
                  <c:v>2.0000845875767599</c:v>
                </c:pt>
                <c:pt idx="20">
                  <c:v>2.11201620214112</c:v>
                </c:pt>
                <c:pt idx="21">
                  <c:v>2.2226667292556401</c:v>
                </c:pt>
                <c:pt idx="22">
                  <c:v>2.3315499423293899</c:v>
                </c:pt>
                <c:pt idx="23">
                  <c:v>2.4342176559470499</c:v>
                </c:pt>
                <c:pt idx="24">
                  <c:v>2.5332867738276401</c:v>
                </c:pt>
                <c:pt idx="25">
                  <c:v>2.6298457196788698</c:v>
                </c:pt>
                <c:pt idx="26">
                  <c:v>2.7260110702647502</c:v>
                </c:pt>
                <c:pt idx="27">
                  <c:v>2.8228918140537602</c:v>
                </c:pt>
                <c:pt idx="28">
                  <c:v>2.9155351672738599</c:v>
                </c:pt>
                <c:pt idx="29">
                  <c:v>3.0061305308852599</c:v>
                </c:pt>
                <c:pt idx="30">
                  <c:v>3.0906615643033302</c:v>
                </c:pt>
                <c:pt idx="31">
                  <c:v>3.1727922099586601</c:v>
                </c:pt>
                <c:pt idx="32">
                  <c:v>3.25999187019158</c:v>
                </c:pt>
                <c:pt idx="33">
                  <c:v>3.3493267026520801</c:v>
                </c:pt>
                <c:pt idx="34">
                  <c:v>3.4354372781856299</c:v>
                </c:pt>
                <c:pt idx="35">
                  <c:v>3.49728368274054</c:v>
                </c:pt>
                <c:pt idx="36">
                  <c:v>3.17761145105298</c:v>
                </c:pt>
                <c:pt idx="37">
                  <c:v>2.5719650993716199</c:v>
                </c:pt>
                <c:pt idx="38">
                  <c:v>2.0664235487882401</c:v>
                </c:pt>
                <c:pt idx="39">
                  <c:v>1.87085752960701</c:v>
                </c:pt>
                <c:pt idx="40">
                  <c:v>1.9808544806891899</c:v>
                </c:pt>
                <c:pt idx="41">
                  <c:v>2.1149766002016799</c:v>
                </c:pt>
                <c:pt idx="42">
                  <c:v>2.2415061849118998</c:v>
                </c:pt>
                <c:pt idx="43">
                  <c:v>2.36164329381505</c:v>
                </c:pt>
                <c:pt idx="44">
                  <c:v>2.4725163943587098</c:v>
                </c:pt>
                <c:pt idx="45">
                  <c:v>2.5815734612824799</c:v>
                </c:pt>
                <c:pt idx="46">
                  <c:v>2.6306835954358401</c:v>
                </c:pt>
                <c:pt idx="47">
                  <c:v>2.3365328388720799</c:v>
                </c:pt>
                <c:pt idx="48">
                  <c:v>1.8329738889654199</c:v>
                </c:pt>
                <c:pt idx="49">
                  <c:v>1.4336025424427701</c:v>
                </c:pt>
                <c:pt idx="50">
                  <c:v>1.1181725844119399</c:v>
                </c:pt>
                <c:pt idx="51">
                  <c:v>0.86888071967373603</c:v>
                </c:pt>
                <c:pt idx="52">
                  <c:v>0.67296114009411101</c:v>
                </c:pt>
                <c:pt idx="53">
                  <c:v>0.51977578816597902</c:v>
                </c:pt>
                <c:pt idx="54">
                  <c:v>0.400348139971414</c:v>
                </c:pt>
                <c:pt idx="55">
                  <c:v>0.30744873938996498</c:v>
                </c:pt>
                <c:pt idx="56">
                  <c:v>0.23542244733569401</c:v>
                </c:pt>
                <c:pt idx="57">
                  <c:v>0.17929274500539399</c:v>
                </c:pt>
                <c:pt idx="58">
                  <c:v>0.136365039797124</c:v>
                </c:pt>
                <c:pt idx="59">
                  <c:v>0.103433993615662</c:v>
                </c:pt>
                <c:pt idx="60">
                  <c:v>7.7904577296792496E-2</c:v>
                </c:pt>
                <c:pt idx="61">
                  <c:v>5.8514185103241703E-2</c:v>
                </c:pt>
                <c:pt idx="62">
                  <c:v>4.3679787676909901E-2</c:v>
                </c:pt>
                <c:pt idx="63">
                  <c:v>3.24237589075713E-2</c:v>
                </c:pt>
                <c:pt idx="64">
                  <c:v>2.3989729257156901E-2</c:v>
                </c:pt>
                <c:pt idx="65">
                  <c:v>1.7631989215453E-2</c:v>
                </c:pt>
                <c:pt idx="66">
                  <c:v>1.2910300114852899E-2</c:v>
                </c:pt>
                <c:pt idx="67">
                  <c:v>9.4117181585975495E-3</c:v>
                </c:pt>
                <c:pt idx="68">
                  <c:v>6.8703946665116204E-3</c:v>
                </c:pt>
                <c:pt idx="69">
                  <c:v>4.9286417835889803E-3</c:v>
                </c:pt>
                <c:pt idx="70">
                  <c:v>3.46884083212651E-3</c:v>
                </c:pt>
                <c:pt idx="71" formatCode="0.00E+00">
                  <c:v>2.4566279589024798E-3</c:v>
                </c:pt>
                <c:pt idx="72" formatCode="0.00E+00">
                  <c:v>1.7561127088615599E-3</c:v>
                </c:pt>
                <c:pt idx="73" formatCode="0.00E+00">
                  <c:v>1.2253370382156899E-3</c:v>
                </c:pt>
                <c:pt idx="74" formatCode="0.00E+00">
                  <c:v>8.6591146033215003E-4</c:v>
                </c:pt>
                <c:pt idx="75" formatCode="0.00E+00">
                  <c:v>5.9642896509954301E-4</c:v>
                </c:pt>
                <c:pt idx="76" formatCode="0.00E+00">
                  <c:v>4.0743378032776601E-4</c:v>
                </c:pt>
                <c:pt idx="77" formatCode="0.00E+00">
                  <c:v>2.8391360424349698E-4</c:v>
                </c:pt>
                <c:pt idx="78" formatCode="0.00E+00">
                  <c:v>1.98061427004778E-4</c:v>
                </c:pt>
                <c:pt idx="79" formatCode="0.00E+00">
                  <c:v>1.4179629655666101E-4</c:v>
                </c:pt>
                <c:pt idx="80" formatCode="0.00E+00">
                  <c:v>1.0566010096952501E-4</c:v>
                </c:pt>
                <c:pt idx="81" formatCode="0.00E+00">
                  <c:v>8.13966330325E-5</c:v>
                </c:pt>
                <c:pt idx="82" formatCode="0.00E+00">
                  <c:v>5.55974762982387E-5</c:v>
                </c:pt>
                <c:pt idx="83" formatCode="0.00E+00">
                  <c:v>3.09869488204664E-5</c:v>
                </c:pt>
                <c:pt idx="84" formatCode="0.00E+00">
                  <c:v>1.5137191471658901E-5</c:v>
                </c:pt>
                <c:pt idx="85" formatCode="0.00E+00">
                  <c:v>5.2864928187956597E-6</c:v>
                </c:pt>
                <c:pt idx="86" formatCode="0.00E+00">
                  <c:v>1.73294947667599E-6</c:v>
                </c:pt>
                <c:pt idx="87" formatCode="0.00E+00">
                  <c:v>9.9999999999999995E-7</c:v>
                </c:pt>
                <c:pt idx="88" formatCode="0.00E+00">
                  <c:v>1.2950233187645199E-7</c:v>
                </c:pt>
                <c:pt idx="89" formatCode="0.00E+00">
                  <c:v>0</c:v>
                </c:pt>
                <c:pt idx="90" formatCode="0.00E+00">
                  <c:v>0</c:v>
                </c:pt>
                <c:pt idx="91" formatCode="0.00E+00">
                  <c:v>0</c:v>
                </c:pt>
                <c:pt idx="92" formatCode="0.00E+00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138560"/>
        <c:axId val="118460416"/>
      </c:scatterChart>
      <c:valAx>
        <c:axId val="115138560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18460416"/>
        <c:crosses val="autoZero"/>
        <c:crossBetween val="midCat"/>
      </c:valAx>
      <c:valAx>
        <c:axId val="118460416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#,##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15138560"/>
        <c:crosses val="autoZero"/>
        <c:crossBetween val="midCat"/>
      </c:valAx>
      <c:spPr>
        <a:ln>
          <a:solidFill>
            <a:schemeClr val="bg1">
              <a:lumMod val="75000"/>
            </a:schemeClr>
          </a:solidFill>
        </a:ln>
      </c:spPr>
    </c:plotArea>
    <c:legend>
      <c:legendPos val="r"/>
      <c:overlay val="0"/>
    </c:legend>
    <c:plotVisOnly val="1"/>
    <c:dispBlanksAs val="gap"/>
    <c:showDLblsOverMax val="0"/>
  </c:char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A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3"/>
          <c:order val="0"/>
          <c:tx>
            <c:v>L^S (SBC)</c:v>
          </c:tx>
          <c:spPr>
            <a:ln w="25400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SBC!$B$2:$B$102</c:f>
              <c:numCache>
                <c:formatCode>General</c:formatCode>
                <c:ptCount val="1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</c:numCache>
            </c:numRef>
          </c:xVal>
          <c:yVal>
            <c:numRef>
              <c:f>SBC!$I$2:$I$102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0.37</c:v>
                </c:pt>
                <c:pt idx="5">
                  <c:v>0.77</c:v>
                </c:pt>
                <c:pt idx="6">
                  <c:v>1.0900000000000001</c:v>
                </c:pt>
                <c:pt idx="7">
                  <c:v>1.37</c:v>
                </c:pt>
                <c:pt idx="8">
                  <c:v>1.62</c:v>
                </c:pt>
                <c:pt idx="9">
                  <c:v>1.85</c:v>
                </c:pt>
                <c:pt idx="10">
                  <c:v>2.06</c:v>
                </c:pt>
                <c:pt idx="11">
                  <c:v>2.2599999999999998</c:v>
                </c:pt>
                <c:pt idx="12">
                  <c:v>2.4500000000000002</c:v>
                </c:pt>
                <c:pt idx="13">
                  <c:v>2.62</c:v>
                </c:pt>
                <c:pt idx="14">
                  <c:v>2.79</c:v>
                </c:pt>
                <c:pt idx="15">
                  <c:v>2.95</c:v>
                </c:pt>
                <c:pt idx="16">
                  <c:v>3.11</c:v>
                </c:pt>
                <c:pt idx="17">
                  <c:v>3.26</c:v>
                </c:pt>
                <c:pt idx="18">
                  <c:v>3.4</c:v>
                </c:pt>
                <c:pt idx="19">
                  <c:v>3.54</c:v>
                </c:pt>
                <c:pt idx="20">
                  <c:v>3.68</c:v>
                </c:pt>
                <c:pt idx="21">
                  <c:v>3.81</c:v>
                </c:pt>
                <c:pt idx="22">
                  <c:v>3.94</c:v>
                </c:pt>
                <c:pt idx="23">
                  <c:v>4.0599999999999996</c:v>
                </c:pt>
                <c:pt idx="24">
                  <c:v>4.18</c:v>
                </c:pt>
                <c:pt idx="25">
                  <c:v>4.3</c:v>
                </c:pt>
                <c:pt idx="26">
                  <c:v>4.42</c:v>
                </c:pt>
                <c:pt idx="27">
                  <c:v>4.53</c:v>
                </c:pt>
                <c:pt idx="28">
                  <c:v>4.6500000000000004</c:v>
                </c:pt>
                <c:pt idx="29">
                  <c:v>4.76</c:v>
                </c:pt>
                <c:pt idx="30">
                  <c:v>4.8600000000000003</c:v>
                </c:pt>
                <c:pt idx="31">
                  <c:v>4.97</c:v>
                </c:pt>
                <c:pt idx="32">
                  <c:v>5.07</c:v>
                </c:pt>
                <c:pt idx="33">
                  <c:v>5.17</c:v>
                </c:pt>
                <c:pt idx="34">
                  <c:v>5.22</c:v>
                </c:pt>
                <c:pt idx="35">
                  <c:v>4.38</c:v>
                </c:pt>
                <c:pt idx="36">
                  <c:v>3.57</c:v>
                </c:pt>
                <c:pt idx="37">
                  <c:v>2.79</c:v>
                </c:pt>
                <c:pt idx="38">
                  <c:v>2.88</c:v>
                </c:pt>
                <c:pt idx="39">
                  <c:v>3.04</c:v>
                </c:pt>
                <c:pt idx="40">
                  <c:v>3.19</c:v>
                </c:pt>
                <c:pt idx="41">
                  <c:v>3.34</c:v>
                </c:pt>
                <c:pt idx="42">
                  <c:v>3.48</c:v>
                </c:pt>
                <c:pt idx="43">
                  <c:v>3.62</c:v>
                </c:pt>
                <c:pt idx="44">
                  <c:v>3.75</c:v>
                </c:pt>
                <c:pt idx="45">
                  <c:v>3.74</c:v>
                </c:pt>
                <c:pt idx="46">
                  <c:v>2.95</c:v>
                </c:pt>
                <c:pt idx="47">
                  <c:v>2.2000000000000002</c:v>
                </c:pt>
                <c:pt idx="48">
                  <c:v>1.52</c:v>
                </c:pt>
                <c:pt idx="49">
                  <c:v>0.91</c:v>
                </c:pt>
                <c:pt idx="50">
                  <c:v>0.44</c:v>
                </c:pt>
                <c:pt idx="51">
                  <c:v>0.13</c:v>
                </c:pt>
                <c:pt idx="52">
                  <c:v>0.02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L^S (Sim)</c:v>
          </c:tx>
          <c:spPr>
            <a:ln w="25400">
              <a:solidFill>
                <a:schemeClr val="accent1">
                  <a:lumMod val="75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Simulation!$C$2:$C$102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Simulation!$N$2:$N$102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0.139190377971255</c:v>
                </c:pt>
                <c:pt idx="6">
                  <c:v>0.43114153307283998</c:v>
                </c:pt>
                <c:pt idx="7">
                  <c:v>0.73882175996827304</c:v>
                </c:pt>
                <c:pt idx="8">
                  <c:v>0.999985440747853</c:v>
                </c:pt>
                <c:pt idx="9">
                  <c:v>1.2295154372016399</c:v>
                </c:pt>
                <c:pt idx="10">
                  <c:v>1.43743748097319</c:v>
                </c:pt>
                <c:pt idx="11">
                  <c:v>1.62563549001615</c:v>
                </c:pt>
                <c:pt idx="12">
                  <c:v>1.79979966850016</c:v>
                </c:pt>
                <c:pt idx="13">
                  <c:v>1.96313699308805</c:v>
                </c:pt>
                <c:pt idx="14">
                  <c:v>2.1186553766579599</c:v>
                </c:pt>
                <c:pt idx="15">
                  <c:v>2.2631740330790402</c:v>
                </c:pt>
                <c:pt idx="16">
                  <c:v>2.40073910919658</c:v>
                </c:pt>
                <c:pt idx="17">
                  <c:v>2.5340916074926598</c:v>
                </c:pt>
                <c:pt idx="18">
                  <c:v>2.66186844632997</c:v>
                </c:pt>
                <c:pt idx="19">
                  <c:v>2.7884695100626402</c:v>
                </c:pt>
                <c:pt idx="20">
                  <c:v>2.9070375657046301</c:v>
                </c:pt>
                <c:pt idx="21">
                  <c:v>3.02505478234196</c:v>
                </c:pt>
                <c:pt idx="22">
                  <c:v>3.1398857697393798</c:v>
                </c:pt>
                <c:pt idx="23">
                  <c:v>3.2479776555900499</c:v>
                </c:pt>
                <c:pt idx="24">
                  <c:v>3.3516328732436</c:v>
                </c:pt>
                <c:pt idx="25">
                  <c:v>3.4524352081927798</c:v>
                </c:pt>
                <c:pt idx="26">
                  <c:v>3.5529327234180101</c:v>
                </c:pt>
                <c:pt idx="27">
                  <c:v>3.6543846021009898</c:v>
                </c:pt>
                <c:pt idx="28">
                  <c:v>3.75007888915736</c:v>
                </c:pt>
                <c:pt idx="29">
                  <c:v>3.8441279587031998</c:v>
                </c:pt>
                <c:pt idx="30">
                  <c:v>3.9312798480735802</c:v>
                </c:pt>
                <c:pt idx="31">
                  <c:v>4.0162623980273597</c:v>
                </c:pt>
                <c:pt idx="32">
                  <c:v>4.1066721079169897</c:v>
                </c:pt>
                <c:pt idx="33">
                  <c:v>4.1991271973331301</c:v>
                </c:pt>
                <c:pt idx="34">
                  <c:v>4.2886196687497602</c:v>
                </c:pt>
                <c:pt idx="35">
                  <c:v>4.3502268501255701</c:v>
                </c:pt>
                <c:pt idx="36">
                  <c:v>3.96497592829793</c:v>
                </c:pt>
                <c:pt idx="37">
                  <c:v>3.2392757959749998</c:v>
                </c:pt>
                <c:pt idx="38">
                  <c:v>2.6269178949171699</c:v>
                </c:pt>
                <c:pt idx="39">
                  <c:v>2.4788396660237502</c:v>
                </c:pt>
                <c:pt idx="40">
                  <c:v>2.6823261397969498</c:v>
                </c:pt>
                <c:pt idx="41">
                  <c:v>2.8576512151513902</c:v>
                </c:pt>
                <c:pt idx="42">
                  <c:v>3.0074963729694701</c:v>
                </c:pt>
                <c:pt idx="43">
                  <c:v>3.1434196250289399</c:v>
                </c:pt>
                <c:pt idx="44">
                  <c:v>3.2651566100698699</c:v>
                </c:pt>
                <c:pt idx="45">
                  <c:v>3.3835810404722801</c:v>
                </c:pt>
                <c:pt idx="46">
                  <c:v>3.4301346959962702</c:v>
                </c:pt>
                <c:pt idx="47">
                  <c:v>3.0521695565849001</c:v>
                </c:pt>
                <c:pt idx="48">
                  <c:v>2.40877226343992</c:v>
                </c:pt>
                <c:pt idx="49">
                  <c:v>1.8933246173859499</c:v>
                </c:pt>
                <c:pt idx="50">
                  <c:v>1.48306385548109</c:v>
                </c:pt>
                <c:pt idx="51">
                  <c:v>1.15747762755704</c:v>
                </c:pt>
                <c:pt idx="52">
                  <c:v>0.90023458192863304</c:v>
                </c:pt>
                <c:pt idx="53">
                  <c:v>0.698393177375356</c:v>
                </c:pt>
                <c:pt idx="54">
                  <c:v>0.54048716328839996</c:v>
                </c:pt>
                <c:pt idx="55">
                  <c:v>0.416672619722259</c:v>
                </c:pt>
                <c:pt idx="56">
                  <c:v>0.32030653063132702</c:v>
                </c:pt>
                <c:pt idx="57">
                  <c:v>0.245206978035162</c:v>
                </c:pt>
                <c:pt idx="58">
                  <c:v>0.18723968059976101</c:v>
                </c:pt>
                <c:pt idx="59">
                  <c:v>0.142524840137218</c:v>
                </c:pt>
                <c:pt idx="60">
                  <c:v>0.10797541876634</c:v>
                </c:pt>
                <c:pt idx="61">
                  <c:v>8.1620915393736698E-2</c:v>
                </c:pt>
                <c:pt idx="62">
                  <c:v>6.14095757303404E-2</c:v>
                </c:pt>
                <c:pt idx="63">
                  <c:v>4.5886671719887202E-2</c:v>
                </c:pt>
                <c:pt idx="64">
                  <c:v>3.4138587188071799E-2</c:v>
                </c:pt>
                <c:pt idx="65">
                  <c:v>2.5278605494756301E-2</c:v>
                </c:pt>
                <c:pt idx="66">
                  <c:v>1.86323791611217E-2</c:v>
                </c:pt>
                <c:pt idx="67">
                  <c:v>1.36863937937857E-2</c:v>
                </c:pt>
                <c:pt idx="68">
                  <c:v>1.0073354906880799E-2</c:v>
                </c:pt>
                <c:pt idx="69">
                  <c:v>7.2875789350618798E-3</c:v>
                </c:pt>
                <c:pt idx="70">
                  <c:v>5.2158633411472097E-3</c:v>
                </c:pt>
                <c:pt idx="71">
                  <c:v>3.7220691315205299E-3</c:v>
                </c:pt>
                <c:pt idx="72">
                  <c:v>2.6610372906505802E-3</c:v>
                </c:pt>
                <c:pt idx="73" formatCode="0.00E+00">
                  <c:v>1.86503176445715E-3</c:v>
                </c:pt>
                <c:pt idx="74" formatCode="0.00E+00">
                  <c:v>1.3110151377598799E-3</c:v>
                </c:pt>
                <c:pt idx="75" formatCode="0.00E+00">
                  <c:v>9.1421689035701297E-4</c:v>
                </c:pt>
                <c:pt idx="76" formatCode="0.00E+00">
                  <c:v>6.2325672637473595E-4</c:v>
                </c:pt>
                <c:pt idx="77" formatCode="0.00E+00">
                  <c:v>4.2797745783784198E-4</c:v>
                </c:pt>
                <c:pt idx="78" formatCode="0.00E+00">
                  <c:v>2.9854061923673299E-4</c:v>
                </c:pt>
                <c:pt idx="79" formatCode="0.00E+00">
                  <c:v>2.1604859526598599E-4</c:v>
                </c:pt>
                <c:pt idx="80" formatCode="0.00E+00">
                  <c:v>1.6184756064955801E-4</c:v>
                </c:pt>
                <c:pt idx="81" formatCode="0.00E+00">
                  <c:v>1.21179742883652E-4</c:v>
                </c:pt>
                <c:pt idx="82" formatCode="0.00E+00">
                  <c:v>8.5844792591807805E-5</c:v>
                </c:pt>
                <c:pt idx="83" formatCode="0.00E+00">
                  <c:v>5.4169992247053798E-5</c:v>
                </c:pt>
                <c:pt idx="84" formatCode="0.00E+00">
                  <c:v>3.1607308174136997E-5</c:v>
                </c:pt>
                <c:pt idx="85" formatCode="0.00E+00">
                  <c:v>1.51190162869416E-5</c:v>
                </c:pt>
                <c:pt idx="86" formatCode="0.00E+00">
                  <c:v>6.9577387482246101E-6</c:v>
                </c:pt>
                <c:pt idx="87" formatCode="0.00E+00">
                  <c:v>3.8047339013271299E-6</c:v>
                </c:pt>
                <c:pt idx="88" formatCode="0.00E+00">
                  <c:v>9.6910083212270502E-7</c:v>
                </c:pt>
                <c:pt idx="89" formatCode="0.00E+00">
                  <c:v>0</c:v>
                </c:pt>
                <c:pt idx="90" formatCode="0.00E+00">
                  <c:v>0</c:v>
                </c:pt>
                <c:pt idx="91" formatCode="0.00E+00">
                  <c:v>0</c:v>
                </c:pt>
                <c:pt idx="92" formatCode="0.00E+00">
                  <c:v>0</c:v>
                </c:pt>
                <c:pt idx="93" formatCode="0.00E+00">
                  <c:v>0</c:v>
                </c:pt>
                <c:pt idx="94" formatCode="0.00E+00">
                  <c:v>0</c:v>
                </c:pt>
                <c:pt idx="95" formatCode="0.00E+00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023296"/>
        <c:axId val="101975552"/>
      </c:scatterChart>
      <c:valAx>
        <c:axId val="122023296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01975552"/>
        <c:crosses val="autoZero"/>
        <c:crossBetween val="midCat"/>
      </c:valAx>
      <c:valAx>
        <c:axId val="101975552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22023296"/>
        <c:crosses val="autoZero"/>
        <c:crossBetween val="midCat"/>
      </c:valAx>
      <c:spPr>
        <a:ln>
          <a:solidFill>
            <a:schemeClr val="bg1">
              <a:lumMod val="75000"/>
            </a:schemeClr>
          </a:solidFill>
        </a:ln>
      </c:spPr>
    </c:plotArea>
    <c:legend>
      <c:legendPos val="r"/>
      <c:overlay val="0"/>
    </c:legend>
    <c:plotVisOnly val="1"/>
    <c:dispBlanksAs val="gap"/>
    <c:showDLblsOverMax val="0"/>
  </c:char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A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2"/>
          <c:tx>
            <c:v>L^Q (SBC)</c:v>
          </c:tx>
          <c:spPr>
            <a:ln w="254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SBC!$B$2:$B$102</c:f>
              <c:numCache>
                <c:formatCode>General</c:formatCode>
                <c:ptCount val="1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</c:numCache>
            </c:numRef>
          </c:xVal>
          <c:yVal>
            <c:numRef>
              <c:f>SBC!$H$2:$H$102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</c:v>
                </c:pt>
                <c:pt idx="5">
                  <c:v>0.33</c:v>
                </c:pt>
                <c:pt idx="6">
                  <c:v>0.56999999999999995</c:v>
                </c:pt>
                <c:pt idx="7">
                  <c:v>0.79</c:v>
                </c:pt>
                <c:pt idx="8">
                  <c:v>1</c:v>
                </c:pt>
                <c:pt idx="9">
                  <c:v>1.2</c:v>
                </c:pt>
                <c:pt idx="10">
                  <c:v>1.39</c:v>
                </c:pt>
                <c:pt idx="11">
                  <c:v>1.57</c:v>
                </c:pt>
                <c:pt idx="12">
                  <c:v>1.74</c:v>
                </c:pt>
                <c:pt idx="13">
                  <c:v>1.9</c:v>
                </c:pt>
                <c:pt idx="14">
                  <c:v>2.06</c:v>
                </c:pt>
                <c:pt idx="15">
                  <c:v>2.21</c:v>
                </c:pt>
                <c:pt idx="16">
                  <c:v>2.35</c:v>
                </c:pt>
                <c:pt idx="17">
                  <c:v>2.4900000000000002</c:v>
                </c:pt>
                <c:pt idx="18">
                  <c:v>2.63</c:v>
                </c:pt>
                <c:pt idx="19">
                  <c:v>2.76</c:v>
                </c:pt>
                <c:pt idx="20">
                  <c:v>2.89</c:v>
                </c:pt>
                <c:pt idx="21">
                  <c:v>3.02</c:v>
                </c:pt>
                <c:pt idx="22">
                  <c:v>3.14</c:v>
                </c:pt>
                <c:pt idx="23">
                  <c:v>3.26</c:v>
                </c:pt>
                <c:pt idx="24">
                  <c:v>3.38</c:v>
                </c:pt>
                <c:pt idx="25">
                  <c:v>3.49</c:v>
                </c:pt>
                <c:pt idx="26">
                  <c:v>3.6</c:v>
                </c:pt>
                <c:pt idx="27">
                  <c:v>3.71</c:v>
                </c:pt>
                <c:pt idx="28">
                  <c:v>3.82</c:v>
                </c:pt>
                <c:pt idx="29">
                  <c:v>3.93</c:v>
                </c:pt>
                <c:pt idx="30">
                  <c:v>4.03</c:v>
                </c:pt>
                <c:pt idx="31">
                  <c:v>4.1399999999999997</c:v>
                </c:pt>
                <c:pt idx="32">
                  <c:v>4.24</c:v>
                </c:pt>
                <c:pt idx="33">
                  <c:v>4.34</c:v>
                </c:pt>
                <c:pt idx="34">
                  <c:v>4.38</c:v>
                </c:pt>
                <c:pt idx="35">
                  <c:v>3.57</c:v>
                </c:pt>
                <c:pt idx="36">
                  <c:v>2.79</c:v>
                </c:pt>
                <c:pt idx="37">
                  <c:v>2.0499999999999998</c:v>
                </c:pt>
                <c:pt idx="38">
                  <c:v>2.14</c:v>
                </c:pt>
                <c:pt idx="39">
                  <c:v>2.29</c:v>
                </c:pt>
                <c:pt idx="40">
                  <c:v>2.4300000000000002</c:v>
                </c:pt>
                <c:pt idx="41">
                  <c:v>2.57</c:v>
                </c:pt>
                <c:pt idx="42">
                  <c:v>2.7</c:v>
                </c:pt>
                <c:pt idx="43">
                  <c:v>2.83</c:v>
                </c:pt>
                <c:pt idx="44">
                  <c:v>2.96</c:v>
                </c:pt>
                <c:pt idx="45">
                  <c:v>2.95</c:v>
                </c:pt>
                <c:pt idx="46">
                  <c:v>2.2000000000000002</c:v>
                </c:pt>
                <c:pt idx="47">
                  <c:v>1.52</c:v>
                </c:pt>
                <c:pt idx="48">
                  <c:v>0.91</c:v>
                </c:pt>
                <c:pt idx="49">
                  <c:v>0.44</c:v>
                </c:pt>
                <c:pt idx="50">
                  <c:v>0.13</c:v>
                </c:pt>
                <c:pt idx="51">
                  <c:v>0.02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</c:ser>
        <c:ser>
          <c:idx val="2"/>
          <c:order val="3"/>
          <c:tx>
            <c:v>L^Q (Sim)</c:v>
          </c:tx>
          <c:spPr>
            <a:ln w="25400">
              <a:solidFill>
                <a:srgbClr val="C00000"/>
              </a:solidFill>
              <a:prstDash val="sysDash"/>
            </a:ln>
          </c:spPr>
          <c:marker>
            <c:symbol val="none"/>
          </c:marker>
          <c:xVal>
            <c:numRef>
              <c:f>Simulation!$C$2:$C$102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Simulation!$L$2:$L$102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1.3382412137087501E-2</c:v>
                </c:pt>
                <c:pt idx="6">
                  <c:v>0.10087200342175601</c:v>
                </c:pt>
                <c:pt idx="7">
                  <c:v>0.26371506186111399</c:v>
                </c:pt>
                <c:pt idx="8">
                  <c:v>0.44202020538250397</c:v>
                </c:pt>
                <c:pt idx="9">
                  <c:v>0.61715880122952105</c:v>
                </c:pt>
                <c:pt idx="10">
                  <c:v>0.78654604675193196</c:v>
                </c:pt>
                <c:pt idx="11">
                  <c:v>0.94611180602822098</c:v>
                </c:pt>
                <c:pt idx="12">
                  <c:v>1.09693620241977</c:v>
                </c:pt>
                <c:pt idx="13">
                  <c:v>1.2415168995067201</c:v>
                </c:pt>
                <c:pt idx="14">
                  <c:v>1.38123752583285</c:v>
                </c:pt>
                <c:pt idx="15">
                  <c:v>1.5129004171535301</c:v>
                </c:pt>
                <c:pt idx="16">
                  <c:v>1.6393216696338699</c:v>
                </c:pt>
                <c:pt idx="17">
                  <c:v>1.7626762035282799</c:v>
                </c:pt>
                <c:pt idx="18">
                  <c:v>1.88182902327261</c:v>
                </c:pt>
                <c:pt idx="19">
                  <c:v>2.0000845875767599</c:v>
                </c:pt>
                <c:pt idx="20">
                  <c:v>2.11201620214112</c:v>
                </c:pt>
                <c:pt idx="21">
                  <c:v>2.2226667292556401</c:v>
                </c:pt>
                <c:pt idx="22">
                  <c:v>2.3315499423293899</c:v>
                </c:pt>
                <c:pt idx="23">
                  <c:v>2.4342176559470499</c:v>
                </c:pt>
                <c:pt idx="24">
                  <c:v>2.5332867738276401</c:v>
                </c:pt>
                <c:pt idx="25">
                  <c:v>2.6298457196788698</c:v>
                </c:pt>
                <c:pt idx="26">
                  <c:v>2.7260110702647502</c:v>
                </c:pt>
                <c:pt idx="27">
                  <c:v>2.8228918140537602</c:v>
                </c:pt>
                <c:pt idx="28">
                  <c:v>2.9155351672738599</c:v>
                </c:pt>
                <c:pt idx="29">
                  <c:v>3.0061305308852599</c:v>
                </c:pt>
                <c:pt idx="30">
                  <c:v>3.0906615643033302</c:v>
                </c:pt>
                <c:pt idx="31">
                  <c:v>3.1727922099586601</c:v>
                </c:pt>
                <c:pt idx="32">
                  <c:v>3.25999187019158</c:v>
                </c:pt>
                <c:pt idx="33">
                  <c:v>3.3493267026520801</c:v>
                </c:pt>
                <c:pt idx="34">
                  <c:v>3.4354372781856299</c:v>
                </c:pt>
                <c:pt idx="35">
                  <c:v>3.49728368274054</c:v>
                </c:pt>
                <c:pt idx="36">
                  <c:v>3.17761145105298</c:v>
                </c:pt>
                <c:pt idx="37">
                  <c:v>2.5719650993716199</c:v>
                </c:pt>
                <c:pt idx="38">
                  <c:v>2.0664235487882401</c:v>
                </c:pt>
                <c:pt idx="39">
                  <c:v>1.87085752960701</c:v>
                </c:pt>
                <c:pt idx="40">
                  <c:v>1.9808544806891899</c:v>
                </c:pt>
                <c:pt idx="41">
                  <c:v>2.1149766002016799</c:v>
                </c:pt>
                <c:pt idx="42">
                  <c:v>2.2415061849118998</c:v>
                </c:pt>
                <c:pt idx="43">
                  <c:v>2.36164329381505</c:v>
                </c:pt>
                <c:pt idx="44">
                  <c:v>2.4725163943587098</c:v>
                </c:pt>
                <c:pt idx="45">
                  <c:v>2.5815734612824799</c:v>
                </c:pt>
                <c:pt idx="46">
                  <c:v>2.6306835954358401</c:v>
                </c:pt>
                <c:pt idx="47">
                  <c:v>2.3365328388720799</c:v>
                </c:pt>
                <c:pt idx="48">
                  <c:v>1.8329738889654199</c:v>
                </c:pt>
                <c:pt idx="49">
                  <c:v>1.4336025424427701</c:v>
                </c:pt>
                <c:pt idx="50">
                  <c:v>1.1181725844119399</c:v>
                </c:pt>
                <c:pt idx="51">
                  <c:v>0.86888071967373603</c:v>
                </c:pt>
                <c:pt idx="52">
                  <c:v>0.67296114009411101</c:v>
                </c:pt>
                <c:pt idx="53">
                  <c:v>0.51977578816597902</c:v>
                </c:pt>
                <c:pt idx="54">
                  <c:v>0.400348139971414</c:v>
                </c:pt>
                <c:pt idx="55">
                  <c:v>0.30744873938996498</c:v>
                </c:pt>
                <c:pt idx="56">
                  <c:v>0.23542244733569401</c:v>
                </c:pt>
                <c:pt idx="57">
                  <c:v>0.17929274500539399</c:v>
                </c:pt>
                <c:pt idx="58">
                  <c:v>0.136365039797124</c:v>
                </c:pt>
                <c:pt idx="59">
                  <c:v>0.103433993615662</c:v>
                </c:pt>
                <c:pt idx="60">
                  <c:v>7.7904577296792496E-2</c:v>
                </c:pt>
                <c:pt idx="61">
                  <c:v>5.8514185103241703E-2</c:v>
                </c:pt>
                <c:pt idx="62">
                  <c:v>4.3679787676909901E-2</c:v>
                </c:pt>
                <c:pt idx="63">
                  <c:v>3.24237589075713E-2</c:v>
                </c:pt>
                <c:pt idx="64">
                  <c:v>2.3989729257156901E-2</c:v>
                </c:pt>
                <c:pt idx="65">
                  <c:v>1.7631989215453E-2</c:v>
                </c:pt>
                <c:pt idx="66">
                  <c:v>1.2910300114852899E-2</c:v>
                </c:pt>
                <c:pt idx="67">
                  <c:v>9.4117181585975495E-3</c:v>
                </c:pt>
                <c:pt idx="68">
                  <c:v>6.8703946665116204E-3</c:v>
                </c:pt>
                <c:pt idx="69">
                  <c:v>4.9286417835889803E-3</c:v>
                </c:pt>
                <c:pt idx="70">
                  <c:v>3.46884083212651E-3</c:v>
                </c:pt>
                <c:pt idx="71" formatCode="0.00E+00">
                  <c:v>2.4566279589024798E-3</c:v>
                </c:pt>
                <c:pt idx="72" formatCode="0.00E+00">
                  <c:v>1.7561127088615599E-3</c:v>
                </c:pt>
                <c:pt idx="73" formatCode="0.00E+00">
                  <c:v>1.2253370382156899E-3</c:v>
                </c:pt>
                <c:pt idx="74" formatCode="0.00E+00">
                  <c:v>8.6591146033215003E-4</c:v>
                </c:pt>
                <c:pt idx="75" formatCode="0.00E+00">
                  <c:v>5.9642896509954301E-4</c:v>
                </c:pt>
                <c:pt idx="76" formatCode="0.00E+00">
                  <c:v>4.0743378032776601E-4</c:v>
                </c:pt>
                <c:pt idx="77" formatCode="0.00E+00">
                  <c:v>2.8391360424349698E-4</c:v>
                </c:pt>
                <c:pt idx="78" formatCode="0.00E+00">
                  <c:v>1.98061427004778E-4</c:v>
                </c:pt>
                <c:pt idx="79" formatCode="0.00E+00">
                  <c:v>1.4179629655666101E-4</c:v>
                </c:pt>
                <c:pt idx="80" formatCode="0.00E+00">
                  <c:v>1.0566010096952501E-4</c:v>
                </c:pt>
                <c:pt idx="81" formatCode="0.00E+00">
                  <c:v>8.13966330325E-5</c:v>
                </c:pt>
                <c:pt idx="82" formatCode="0.00E+00">
                  <c:v>5.55974762982387E-5</c:v>
                </c:pt>
                <c:pt idx="83" formatCode="0.00E+00">
                  <c:v>3.09869488204664E-5</c:v>
                </c:pt>
                <c:pt idx="84" formatCode="0.00E+00">
                  <c:v>1.5137191471658901E-5</c:v>
                </c:pt>
                <c:pt idx="85" formatCode="0.00E+00">
                  <c:v>5.2864928187956597E-6</c:v>
                </c:pt>
                <c:pt idx="86" formatCode="0.00E+00">
                  <c:v>1.73294947667599E-6</c:v>
                </c:pt>
                <c:pt idx="87" formatCode="0.00E+00">
                  <c:v>9.9999999999999995E-7</c:v>
                </c:pt>
                <c:pt idx="88" formatCode="0.00E+00">
                  <c:v>1.2950233187645199E-7</c:v>
                </c:pt>
                <c:pt idx="89" formatCode="0.00E+00">
                  <c:v>0</c:v>
                </c:pt>
                <c:pt idx="90" formatCode="0.00E+00">
                  <c:v>0</c:v>
                </c:pt>
                <c:pt idx="91" formatCode="0.00E+00">
                  <c:v>0</c:v>
                </c:pt>
                <c:pt idx="92" formatCode="0.00E+00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</c:ser>
        <c:ser>
          <c:idx val="3"/>
          <c:order val="0"/>
          <c:tx>
            <c:v>L^S (SBC)</c:v>
          </c:tx>
          <c:spPr>
            <a:ln w="25400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SBC!$B$2:$B$102</c:f>
              <c:numCache>
                <c:formatCode>General</c:formatCode>
                <c:ptCount val="1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</c:numCache>
            </c:numRef>
          </c:xVal>
          <c:yVal>
            <c:numRef>
              <c:f>SBC!$I$2:$I$102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0.37</c:v>
                </c:pt>
                <c:pt idx="5">
                  <c:v>0.77</c:v>
                </c:pt>
                <c:pt idx="6">
                  <c:v>1.0900000000000001</c:v>
                </c:pt>
                <c:pt idx="7">
                  <c:v>1.37</c:v>
                </c:pt>
                <c:pt idx="8">
                  <c:v>1.62</c:v>
                </c:pt>
                <c:pt idx="9">
                  <c:v>1.85</c:v>
                </c:pt>
                <c:pt idx="10">
                  <c:v>2.06</c:v>
                </c:pt>
                <c:pt idx="11">
                  <c:v>2.2599999999999998</c:v>
                </c:pt>
                <c:pt idx="12">
                  <c:v>2.4500000000000002</c:v>
                </c:pt>
                <c:pt idx="13">
                  <c:v>2.62</c:v>
                </c:pt>
                <c:pt idx="14">
                  <c:v>2.79</c:v>
                </c:pt>
                <c:pt idx="15">
                  <c:v>2.95</c:v>
                </c:pt>
                <c:pt idx="16">
                  <c:v>3.11</c:v>
                </c:pt>
                <c:pt idx="17">
                  <c:v>3.26</c:v>
                </c:pt>
                <c:pt idx="18">
                  <c:v>3.4</c:v>
                </c:pt>
                <c:pt idx="19">
                  <c:v>3.54</c:v>
                </c:pt>
                <c:pt idx="20">
                  <c:v>3.68</c:v>
                </c:pt>
                <c:pt idx="21">
                  <c:v>3.81</c:v>
                </c:pt>
                <c:pt idx="22">
                  <c:v>3.94</c:v>
                </c:pt>
                <c:pt idx="23">
                  <c:v>4.0599999999999996</c:v>
                </c:pt>
                <c:pt idx="24">
                  <c:v>4.18</c:v>
                </c:pt>
                <c:pt idx="25">
                  <c:v>4.3</c:v>
                </c:pt>
                <c:pt idx="26">
                  <c:v>4.42</c:v>
                </c:pt>
                <c:pt idx="27">
                  <c:v>4.53</c:v>
                </c:pt>
                <c:pt idx="28">
                  <c:v>4.6500000000000004</c:v>
                </c:pt>
                <c:pt idx="29">
                  <c:v>4.76</c:v>
                </c:pt>
                <c:pt idx="30">
                  <c:v>4.8600000000000003</c:v>
                </c:pt>
                <c:pt idx="31">
                  <c:v>4.97</c:v>
                </c:pt>
                <c:pt idx="32">
                  <c:v>5.07</c:v>
                </c:pt>
                <c:pt idx="33">
                  <c:v>5.17</c:v>
                </c:pt>
                <c:pt idx="34">
                  <c:v>5.22</c:v>
                </c:pt>
                <c:pt idx="35">
                  <c:v>4.38</c:v>
                </c:pt>
                <c:pt idx="36">
                  <c:v>3.57</c:v>
                </c:pt>
                <c:pt idx="37">
                  <c:v>2.79</c:v>
                </c:pt>
                <c:pt idx="38">
                  <c:v>2.88</c:v>
                </c:pt>
                <c:pt idx="39">
                  <c:v>3.04</c:v>
                </c:pt>
                <c:pt idx="40">
                  <c:v>3.19</c:v>
                </c:pt>
                <c:pt idx="41">
                  <c:v>3.34</c:v>
                </c:pt>
                <c:pt idx="42">
                  <c:v>3.48</c:v>
                </c:pt>
                <c:pt idx="43">
                  <c:v>3.62</c:v>
                </c:pt>
                <c:pt idx="44">
                  <c:v>3.75</c:v>
                </c:pt>
                <c:pt idx="45">
                  <c:v>3.74</c:v>
                </c:pt>
                <c:pt idx="46">
                  <c:v>2.95</c:v>
                </c:pt>
                <c:pt idx="47">
                  <c:v>2.2000000000000002</c:v>
                </c:pt>
                <c:pt idx="48">
                  <c:v>1.52</c:v>
                </c:pt>
                <c:pt idx="49">
                  <c:v>0.91</c:v>
                </c:pt>
                <c:pt idx="50">
                  <c:v>0.44</c:v>
                </c:pt>
                <c:pt idx="51">
                  <c:v>0.13</c:v>
                </c:pt>
                <c:pt idx="52">
                  <c:v>0.02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L^S (Sim)</c:v>
          </c:tx>
          <c:spPr>
            <a:ln w="25400">
              <a:solidFill>
                <a:schemeClr val="accent1">
                  <a:lumMod val="75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Simulation!$C$2:$C$102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Simulation!$N$2:$N$102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0.139190377971255</c:v>
                </c:pt>
                <c:pt idx="6">
                  <c:v>0.43114153307283998</c:v>
                </c:pt>
                <c:pt idx="7">
                  <c:v>0.73882175996827304</c:v>
                </c:pt>
                <c:pt idx="8">
                  <c:v>0.999985440747853</c:v>
                </c:pt>
                <c:pt idx="9">
                  <c:v>1.2295154372016399</c:v>
                </c:pt>
                <c:pt idx="10">
                  <c:v>1.43743748097319</c:v>
                </c:pt>
                <c:pt idx="11">
                  <c:v>1.62563549001615</c:v>
                </c:pt>
                <c:pt idx="12">
                  <c:v>1.79979966850016</c:v>
                </c:pt>
                <c:pt idx="13">
                  <c:v>1.96313699308805</c:v>
                </c:pt>
                <c:pt idx="14">
                  <c:v>2.1186553766579599</c:v>
                </c:pt>
                <c:pt idx="15">
                  <c:v>2.2631740330790402</c:v>
                </c:pt>
                <c:pt idx="16">
                  <c:v>2.40073910919658</c:v>
                </c:pt>
                <c:pt idx="17">
                  <c:v>2.5340916074926598</c:v>
                </c:pt>
                <c:pt idx="18">
                  <c:v>2.66186844632997</c:v>
                </c:pt>
                <c:pt idx="19">
                  <c:v>2.7884695100626402</c:v>
                </c:pt>
                <c:pt idx="20">
                  <c:v>2.9070375657046301</c:v>
                </c:pt>
                <c:pt idx="21">
                  <c:v>3.02505478234196</c:v>
                </c:pt>
                <c:pt idx="22">
                  <c:v>3.1398857697393798</c:v>
                </c:pt>
                <c:pt idx="23">
                  <c:v>3.2479776555900499</c:v>
                </c:pt>
                <c:pt idx="24">
                  <c:v>3.3516328732436</c:v>
                </c:pt>
                <c:pt idx="25">
                  <c:v>3.4524352081927798</c:v>
                </c:pt>
                <c:pt idx="26">
                  <c:v>3.5529327234180101</c:v>
                </c:pt>
                <c:pt idx="27">
                  <c:v>3.6543846021009898</c:v>
                </c:pt>
                <c:pt idx="28">
                  <c:v>3.75007888915736</c:v>
                </c:pt>
                <c:pt idx="29">
                  <c:v>3.8441279587031998</c:v>
                </c:pt>
                <c:pt idx="30">
                  <c:v>3.9312798480735802</c:v>
                </c:pt>
                <c:pt idx="31">
                  <c:v>4.0162623980273597</c:v>
                </c:pt>
                <c:pt idx="32">
                  <c:v>4.1066721079169897</c:v>
                </c:pt>
                <c:pt idx="33">
                  <c:v>4.1991271973331301</c:v>
                </c:pt>
                <c:pt idx="34">
                  <c:v>4.2886196687497602</c:v>
                </c:pt>
                <c:pt idx="35">
                  <c:v>4.3502268501255701</c:v>
                </c:pt>
                <c:pt idx="36">
                  <c:v>3.96497592829793</c:v>
                </c:pt>
                <c:pt idx="37">
                  <c:v>3.2392757959749998</c:v>
                </c:pt>
                <c:pt idx="38">
                  <c:v>2.6269178949171699</c:v>
                </c:pt>
                <c:pt idx="39">
                  <c:v>2.4788396660237502</c:v>
                </c:pt>
                <c:pt idx="40">
                  <c:v>2.6823261397969498</c:v>
                </c:pt>
                <c:pt idx="41">
                  <c:v>2.8576512151513902</c:v>
                </c:pt>
                <c:pt idx="42">
                  <c:v>3.0074963729694701</c:v>
                </c:pt>
                <c:pt idx="43">
                  <c:v>3.1434196250289399</c:v>
                </c:pt>
                <c:pt idx="44">
                  <c:v>3.2651566100698699</c:v>
                </c:pt>
                <c:pt idx="45">
                  <c:v>3.3835810404722801</c:v>
                </c:pt>
                <c:pt idx="46">
                  <c:v>3.4301346959962702</c:v>
                </c:pt>
                <c:pt idx="47">
                  <c:v>3.0521695565849001</c:v>
                </c:pt>
                <c:pt idx="48">
                  <c:v>2.40877226343992</c:v>
                </c:pt>
                <c:pt idx="49">
                  <c:v>1.8933246173859499</c:v>
                </c:pt>
                <c:pt idx="50">
                  <c:v>1.48306385548109</c:v>
                </c:pt>
                <c:pt idx="51">
                  <c:v>1.15747762755704</c:v>
                </c:pt>
                <c:pt idx="52">
                  <c:v>0.90023458192863304</c:v>
                </c:pt>
                <c:pt idx="53">
                  <c:v>0.698393177375356</c:v>
                </c:pt>
                <c:pt idx="54">
                  <c:v>0.54048716328839996</c:v>
                </c:pt>
                <c:pt idx="55">
                  <c:v>0.416672619722259</c:v>
                </c:pt>
                <c:pt idx="56">
                  <c:v>0.32030653063132702</c:v>
                </c:pt>
                <c:pt idx="57">
                  <c:v>0.245206978035162</c:v>
                </c:pt>
                <c:pt idx="58">
                  <c:v>0.18723968059976101</c:v>
                </c:pt>
                <c:pt idx="59">
                  <c:v>0.142524840137218</c:v>
                </c:pt>
                <c:pt idx="60">
                  <c:v>0.10797541876634</c:v>
                </c:pt>
                <c:pt idx="61">
                  <c:v>8.1620915393736698E-2</c:v>
                </c:pt>
                <c:pt idx="62">
                  <c:v>6.14095757303404E-2</c:v>
                </c:pt>
                <c:pt idx="63">
                  <c:v>4.5886671719887202E-2</c:v>
                </c:pt>
                <c:pt idx="64">
                  <c:v>3.4138587188071799E-2</c:v>
                </c:pt>
                <c:pt idx="65">
                  <c:v>2.5278605494756301E-2</c:v>
                </c:pt>
                <c:pt idx="66">
                  <c:v>1.86323791611217E-2</c:v>
                </c:pt>
                <c:pt idx="67">
                  <c:v>1.36863937937857E-2</c:v>
                </c:pt>
                <c:pt idx="68">
                  <c:v>1.0073354906880799E-2</c:v>
                </c:pt>
                <c:pt idx="69">
                  <c:v>7.2875789350618798E-3</c:v>
                </c:pt>
                <c:pt idx="70">
                  <c:v>5.2158633411472097E-3</c:v>
                </c:pt>
                <c:pt idx="71">
                  <c:v>3.7220691315205299E-3</c:v>
                </c:pt>
                <c:pt idx="72">
                  <c:v>2.6610372906505802E-3</c:v>
                </c:pt>
                <c:pt idx="73" formatCode="0.00E+00">
                  <c:v>1.86503176445715E-3</c:v>
                </c:pt>
                <c:pt idx="74" formatCode="0.00E+00">
                  <c:v>1.3110151377598799E-3</c:v>
                </c:pt>
                <c:pt idx="75" formatCode="0.00E+00">
                  <c:v>9.1421689035701297E-4</c:v>
                </c:pt>
                <c:pt idx="76" formatCode="0.00E+00">
                  <c:v>6.2325672637473595E-4</c:v>
                </c:pt>
                <c:pt idx="77" formatCode="0.00E+00">
                  <c:v>4.2797745783784198E-4</c:v>
                </c:pt>
                <c:pt idx="78" formatCode="0.00E+00">
                  <c:v>2.9854061923673299E-4</c:v>
                </c:pt>
                <c:pt idx="79" formatCode="0.00E+00">
                  <c:v>2.1604859526598599E-4</c:v>
                </c:pt>
                <c:pt idx="80" formatCode="0.00E+00">
                  <c:v>1.6184756064955801E-4</c:v>
                </c:pt>
                <c:pt idx="81" formatCode="0.00E+00">
                  <c:v>1.21179742883652E-4</c:v>
                </c:pt>
                <c:pt idx="82" formatCode="0.00E+00">
                  <c:v>8.5844792591807805E-5</c:v>
                </c:pt>
                <c:pt idx="83" formatCode="0.00E+00">
                  <c:v>5.4169992247053798E-5</c:v>
                </c:pt>
                <c:pt idx="84" formatCode="0.00E+00">
                  <c:v>3.1607308174136997E-5</c:v>
                </c:pt>
                <c:pt idx="85" formatCode="0.00E+00">
                  <c:v>1.51190162869416E-5</c:v>
                </c:pt>
                <c:pt idx="86" formatCode="0.00E+00">
                  <c:v>6.9577387482246101E-6</c:v>
                </c:pt>
                <c:pt idx="87" formatCode="0.00E+00">
                  <c:v>3.8047339013271299E-6</c:v>
                </c:pt>
                <c:pt idx="88" formatCode="0.00E+00">
                  <c:v>9.6910083212270502E-7</c:v>
                </c:pt>
                <c:pt idx="89" formatCode="0.00E+00">
                  <c:v>0</c:v>
                </c:pt>
                <c:pt idx="90" formatCode="0.00E+00">
                  <c:v>0</c:v>
                </c:pt>
                <c:pt idx="91" formatCode="0.00E+00">
                  <c:v>0</c:v>
                </c:pt>
                <c:pt idx="92" formatCode="0.00E+00">
                  <c:v>0</c:v>
                </c:pt>
                <c:pt idx="93" formatCode="0.00E+00">
                  <c:v>0</c:v>
                </c:pt>
                <c:pt idx="94" formatCode="0.00E+00">
                  <c:v>0</c:v>
                </c:pt>
                <c:pt idx="95" formatCode="0.00E+00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998976"/>
        <c:axId val="102000896"/>
      </c:scatterChart>
      <c:valAx>
        <c:axId val="101998976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02000896"/>
        <c:crosses val="autoZero"/>
        <c:crossBetween val="midCat"/>
      </c:valAx>
      <c:valAx>
        <c:axId val="102000896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01998976"/>
        <c:crosses val="autoZero"/>
        <c:crossBetween val="midCat"/>
      </c:valAx>
      <c:spPr>
        <a:ln>
          <a:solidFill>
            <a:schemeClr val="bg1">
              <a:lumMod val="75000"/>
            </a:schemeClr>
          </a:solidFill>
        </a:ln>
      </c:spPr>
    </c:plotArea>
    <c:legend>
      <c:legendPos val="r"/>
      <c:overlay val="0"/>
    </c:legend>
    <c:plotVisOnly val="1"/>
    <c:dispBlanksAs val="gap"/>
    <c:showDLblsOverMax val="0"/>
  </c:char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A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3"/>
          <c:order val="0"/>
          <c:tx>
            <c:v>X (SBC)</c:v>
          </c:tx>
          <c:spPr>
            <a:ln w="25400"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SBC!$B$2:$B$102</c:f>
              <c:numCache>
                <c:formatCode>General</c:formatCode>
                <c:ptCount val="1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</c:numCache>
            </c:numRef>
          </c:xVal>
          <c:yVal>
            <c:numRef>
              <c:f>SBC!$K$2:$K$102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0.27</c:v>
                </c:pt>
                <c:pt idx="5">
                  <c:v>0.43</c:v>
                </c:pt>
                <c:pt idx="6">
                  <c:v>0.52</c:v>
                </c:pt>
                <c:pt idx="7">
                  <c:v>0.57999999999999996</c:v>
                </c:pt>
                <c:pt idx="8">
                  <c:v>0.62</c:v>
                </c:pt>
                <c:pt idx="9">
                  <c:v>0.65</c:v>
                </c:pt>
                <c:pt idx="10">
                  <c:v>0.67</c:v>
                </c:pt>
                <c:pt idx="11">
                  <c:v>0.69</c:v>
                </c:pt>
                <c:pt idx="12">
                  <c:v>0.71</c:v>
                </c:pt>
                <c:pt idx="13">
                  <c:v>0.72</c:v>
                </c:pt>
                <c:pt idx="14">
                  <c:v>0.74</c:v>
                </c:pt>
                <c:pt idx="15">
                  <c:v>0.75</c:v>
                </c:pt>
                <c:pt idx="16">
                  <c:v>0.76</c:v>
                </c:pt>
                <c:pt idx="17">
                  <c:v>0.77</c:v>
                </c:pt>
                <c:pt idx="18">
                  <c:v>0.77</c:v>
                </c:pt>
                <c:pt idx="19">
                  <c:v>0.78</c:v>
                </c:pt>
                <c:pt idx="20">
                  <c:v>0.79</c:v>
                </c:pt>
                <c:pt idx="21">
                  <c:v>0.79</c:v>
                </c:pt>
                <c:pt idx="22">
                  <c:v>0.8</c:v>
                </c:pt>
                <c:pt idx="23">
                  <c:v>0.8</c:v>
                </c:pt>
                <c:pt idx="24">
                  <c:v>0.81</c:v>
                </c:pt>
                <c:pt idx="25">
                  <c:v>0.81</c:v>
                </c:pt>
                <c:pt idx="26">
                  <c:v>0.82</c:v>
                </c:pt>
                <c:pt idx="27">
                  <c:v>0.82</c:v>
                </c:pt>
                <c:pt idx="28">
                  <c:v>0.82</c:v>
                </c:pt>
                <c:pt idx="29">
                  <c:v>0.83</c:v>
                </c:pt>
                <c:pt idx="30">
                  <c:v>0.83</c:v>
                </c:pt>
                <c:pt idx="31">
                  <c:v>0.83</c:v>
                </c:pt>
                <c:pt idx="32">
                  <c:v>0.84</c:v>
                </c:pt>
                <c:pt idx="33">
                  <c:v>0.84</c:v>
                </c:pt>
                <c:pt idx="34">
                  <c:v>0.84</c:v>
                </c:pt>
                <c:pt idx="35">
                  <c:v>0.81</c:v>
                </c:pt>
                <c:pt idx="36">
                  <c:v>0.78</c:v>
                </c:pt>
                <c:pt idx="37">
                  <c:v>0.74</c:v>
                </c:pt>
                <c:pt idx="38">
                  <c:v>0.74</c:v>
                </c:pt>
                <c:pt idx="39">
                  <c:v>0.75</c:v>
                </c:pt>
                <c:pt idx="40">
                  <c:v>0.76</c:v>
                </c:pt>
                <c:pt idx="41">
                  <c:v>0.77</c:v>
                </c:pt>
                <c:pt idx="42">
                  <c:v>0.78</c:v>
                </c:pt>
                <c:pt idx="43">
                  <c:v>0.78</c:v>
                </c:pt>
                <c:pt idx="44">
                  <c:v>0.79</c:v>
                </c:pt>
                <c:pt idx="45">
                  <c:v>0.79</c:v>
                </c:pt>
                <c:pt idx="46">
                  <c:v>0.75</c:v>
                </c:pt>
                <c:pt idx="47">
                  <c:v>0.69</c:v>
                </c:pt>
                <c:pt idx="48">
                  <c:v>0.6</c:v>
                </c:pt>
                <c:pt idx="49">
                  <c:v>0.48</c:v>
                </c:pt>
                <c:pt idx="50">
                  <c:v>0.3</c:v>
                </c:pt>
                <c:pt idx="51">
                  <c:v>0.12</c:v>
                </c:pt>
                <c:pt idx="52">
                  <c:v>0.02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X (Sim)</c:v>
          </c:tx>
          <c:spPr>
            <a:ln w="25400">
              <a:solidFill>
                <a:schemeClr val="accent3">
                  <a:lumMod val="75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Simulation!$C$2:$C$102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Simulation!$AJ$2:$AJ$102</c:f>
              <c:numCache>
                <c:formatCode>General</c:formatCode>
                <c:ptCount val="10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0.12686</c:v>
                </c:pt>
                <c:pt idx="6">
                  <c:v>0.331152</c:v>
                </c:pt>
                <c:pt idx="7">
                  <c:v>0.47449599999999997</c:v>
                </c:pt>
                <c:pt idx="8">
                  <c:v>0.55740000000000001</c:v>
                </c:pt>
                <c:pt idx="9">
                  <c:v>0.61287499999999995</c:v>
                </c:pt>
                <c:pt idx="10">
                  <c:v>0.65022500000000005</c:v>
                </c:pt>
                <c:pt idx="11">
                  <c:v>0.68003999999999998</c:v>
                </c:pt>
                <c:pt idx="12">
                  <c:v>0.70099599999999995</c:v>
                </c:pt>
                <c:pt idx="13">
                  <c:v>0.72118899999999997</c:v>
                </c:pt>
                <c:pt idx="14">
                  <c:v>0.737869</c:v>
                </c:pt>
                <c:pt idx="15">
                  <c:v>0.75139400000000001</c:v>
                </c:pt>
                <c:pt idx="16">
                  <c:v>0.76039800000000002</c:v>
                </c:pt>
                <c:pt idx="17">
                  <c:v>0.77209000000000005</c:v>
                </c:pt>
                <c:pt idx="18">
                  <c:v>0.78093500000000005</c:v>
                </c:pt>
                <c:pt idx="19">
                  <c:v>0.78723900000000002</c:v>
                </c:pt>
                <c:pt idx="20">
                  <c:v>0.79420299999999999</c:v>
                </c:pt>
                <c:pt idx="21">
                  <c:v>0.80293700000000001</c:v>
                </c:pt>
                <c:pt idx="22">
                  <c:v>0.8095</c:v>
                </c:pt>
                <c:pt idx="23">
                  <c:v>0.81400600000000001</c:v>
                </c:pt>
                <c:pt idx="24">
                  <c:v>0.81795399999999996</c:v>
                </c:pt>
                <c:pt idx="25">
                  <c:v>0.82304600000000006</c:v>
                </c:pt>
                <c:pt idx="26">
                  <c:v>0.82822700000000005</c:v>
                </c:pt>
                <c:pt idx="27">
                  <c:v>0.83258500000000002</c:v>
                </c:pt>
                <c:pt idx="28">
                  <c:v>0.833372</c:v>
                </c:pt>
                <c:pt idx="29">
                  <c:v>0.83881700000000003</c:v>
                </c:pt>
                <c:pt idx="30">
                  <c:v>0.84357199999999999</c:v>
                </c:pt>
                <c:pt idx="31">
                  <c:v>0.84364799999999995</c:v>
                </c:pt>
                <c:pt idx="32">
                  <c:v>0.84507399999999999</c:v>
                </c:pt>
                <c:pt idx="33">
                  <c:v>0.84949799999999998</c:v>
                </c:pt>
                <c:pt idx="34">
                  <c:v>0.85113499999999997</c:v>
                </c:pt>
                <c:pt idx="35">
                  <c:v>0.85336599999999996</c:v>
                </c:pt>
                <c:pt idx="36">
                  <c:v>0.787327</c:v>
                </c:pt>
                <c:pt idx="37">
                  <c:v>0.66591100000000003</c:v>
                </c:pt>
                <c:pt idx="38">
                  <c:v>0.56076499999999996</c:v>
                </c:pt>
                <c:pt idx="39">
                  <c:v>0.60775599999999996</c:v>
                </c:pt>
                <c:pt idx="40">
                  <c:v>0.70172900000000005</c:v>
                </c:pt>
                <c:pt idx="41">
                  <c:v>0.741421</c:v>
                </c:pt>
                <c:pt idx="42">
                  <c:v>0.764957</c:v>
                </c:pt>
                <c:pt idx="43">
                  <c:v>0.78204499999999999</c:v>
                </c:pt>
                <c:pt idx="44">
                  <c:v>0.79259299999999999</c:v>
                </c:pt>
                <c:pt idx="45">
                  <c:v>0.80188000000000004</c:v>
                </c:pt>
                <c:pt idx="46">
                  <c:v>0.79884599999999995</c:v>
                </c:pt>
                <c:pt idx="47">
                  <c:v>0.714445</c:v>
                </c:pt>
                <c:pt idx="48">
                  <c:v>0.57644200000000001</c:v>
                </c:pt>
                <c:pt idx="49">
                  <c:v>0.45888499999999999</c:v>
                </c:pt>
                <c:pt idx="50">
                  <c:v>0.36497000000000002</c:v>
                </c:pt>
                <c:pt idx="51">
                  <c:v>0.288937</c:v>
                </c:pt>
                <c:pt idx="52">
                  <c:v>0.227491</c:v>
                </c:pt>
                <c:pt idx="53">
                  <c:v>0.17812700000000001</c:v>
                </c:pt>
                <c:pt idx="54">
                  <c:v>0.13957800000000001</c:v>
                </c:pt>
                <c:pt idx="55">
                  <c:v>0.109024</c:v>
                </c:pt>
                <c:pt idx="56">
                  <c:v>8.4574999999999997E-2</c:v>
                </c:pt>
                <c:pt idx="57">
                  <c:v>6.6211000000000006E-2</c:v>
                </c:pt>
                <c:pt idx="58">
                  <c:v>5.0723999999999998E-2</c:v>
                </c:pt>
                <c:pt idx="59">
                  <c:v>3.9149999999999997E-2</c:v>
                </c:pt>
                <c:pt idx="60">
                  <c:v>3.0176999999999999E-2</c:v>
                </c:pt>
                <c:pt idx="61">
                  <c:v>2.2838000000000001E-2</c:v>
                </c:pt>
                <c:pt idx="62">
                  <c:v>1.7857000000000001E-2</c:v>
                </c:pt>
                <c:pt idx="63">
                  <c:v>1.3426E-2</c:v>
                </c:pt>
                <c:pt idx="64">
                  <c:v>1.0175E-2</c:v>
                </c:pt>
                <c:pt idx="65">
                  <c:v>7.6109999999999997E-3</c:v>
                </c:pt>
                <c:pt idx="66">
                  <c:v>5.764E-3</c:v>
                </c:pt>
                <c:pt idx="67">
                  <c:v>4.248E-3</c:v>
                </c:pt>
                <c:pt idx="68">
                  <c:v>3.13E-3</c:v>
                </c:pt>
                <c:pt idx="69">
                  <c:v>2.3939999999999999E-3</c:v>
                </c:pt>
                <c:pt idx="70">
                  <c:v>1.7639999999999999E-3</c:v>
                </c:pt>
                <c:pt idx="71">
                  <c:v>1.253E-3</c:v>
                </c:pt>
                <c:pt idx="72">
                  <c:v>9.0300000000000005E-4</c:v>
                </c:pt>
                <c:pt idx="73">
                  <c:v>6.5099999999999999E-4</c:v>
                </c:pt>
                <c:pt idx="74">
                  <c:v>4.8500000000000003E-4</c:v>
                </c:pt>
                <c:pt idx="75">
                  <c:v>3.3100000000000002E-4</c:v>
                </c:pt>
                <c:pt idx="76">
                  <c:v>2.5900000000000001E-4</c:v>
                </c:pt>
                <c:pt idx="77">
                  <c:v>1.46E-4</c:v>
                </c:pt>
                <c:pt idx="78">
                  <c:v>1.06E-4</c:v>
                </c:pt>
                <c:pt idx="79">
                  <c:v>6.0000000000000002E-5</c:v>
                </c:pt>
                <c:pt idx="80">
                  <c:v>4.6E-5</c:v>
                </c:pt>
                <c:pt idx="81">
                  <c:v>3.8999999999999999E-5</c:v>
                </c:pt>
                <c:pt idx="82">
                  <c:v>3.8000000000000002E-5</c:v>
                </c:pt>
                <c:pt idx="83">
                  <c:v>2.6999999999999999E-5</c:v>
                </c:pt>
                <c:pt idx="84">
                  <c:v>1.8E-5</c:v>
                </c:pt>
                <c:pt idx="85">
                  <c:v>1.0000000000000001E-5</c:v>
                </c:pt>
                <c:pt idx="86">
                  <c:v>6.9999999999999999E-6</c:v>
                </c:pt>
                <c:pt idx="87">
                  <c:v>9.9999999999999995E-7</c:v>
                </c:pt>
                <c:pt idx="88">
                  <c:v>3.0000000000000001E-6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014336"/>
        <c:axId val="102118912"/>
      </c:scatterChart>
      <c:valAx>
        <c:axId val="102014336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02118912"/>
        <c:crosses val="autoZero"/>
        <c:crossBetween val="midCat"/>
      </c:valAx>
      <c:valAx>
        <c:axId val="102118912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02014336"/>
        <c:crosses val="autoZero"/>
        <c:crossBetween val="midCat"/>
      </c:valAx>
      <c:spPr>
        <a:ln>
          <a:solidFill>
            <a:schemeClr val="bg1">
              <a:lumMod val="75000"/>
            </a:schemeClr>
          </a:solidFill>
        </a:ln>
      </c:spPr>
    </c:plotArea>
    <c:legend>
      <c:legendPos val="r"/>
      <c:overlay val="0"/>
    </c:legend>
    <c:plotVisOnly val="1"/>
    <c:dispBlanksAs val="gap"/>
    <c:showDLblsOverMax val="0"/>
  </c:char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A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D (SBC)</c:v>
          </c:tx>
          <c:spPr>
            <a:ln w="254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SBC!$B$2:$B$102</c:f>
              <c:numCache>
                <c:formatCode>General</c:formatCode>
                <c:ptCount val="1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</c:numCache>
            </c:numRef>
          </c:xVal>
          <c:yVal>
            <c:numRef>
              <c:f>SBC!$D$2:$D$102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0.7</c:v>
                </c:pt>
                <c:pt idx="7">
                  <c:v>0.7</c:v>
                </c:pt>
                <c:pt idx="8">
                  <c:v>0.7</c:v>
                </c:pt>
                <c:pt idx="9">
                  <c:v>0.7</c:v>
                </c:pt>
                <c:pt idx="10">
                  <c:v>0.7</c:v>
                </c:pt>
                <c:pt idx="11">
                  <c:v>0.7</c:v>
                </c:pt>
                <c:pt idx="12">
                  <c:v>0.7</c:v>
                </c:pt>
                <c:pt idx="13">
                  <c:v>0.7</c:v>
                </c:pt>
                <c:pt idx="14">
                  <c:v>0.7</c:v>
                </c:pt>
                <c:pt idx="15">
                  <c:v>0.7</c:v>
                </c:pt>
                <c:pt idx="16">
                  <c:v>0.7</c:v>
                </c:pt>
                <c:pt idx="17">
                  <c:v>0.7</c:v>
                </c:pt>
                <c:pt idx="18">
                  <c:v>0.7</c:v>
                </c:pt>
                <c:pt idx="19">
                  <c:v>0.7</c:v>
                </c:pt>
                <c:pt idx="20">
                  <c:v>0.7</c:v>
                </c:pt>
                <c:pt idx="21">
                  <c:v>0.7</c:v>
                </c:pt>
                <c:pt idx="22">
                  <c:v>0.7</c:v>
                </c:pt>
                <c:pt idx="23">
                  <c:v>0.7</c:v>
                </c:pt>
                <c:pt idx="24">
                  <c:v>0.7</c:v>
                </c:pt>
                <c:pt idx="25">
                  <c:v>0.7</c:v>
                </c:pt>
                <c:pt idx="26">
                  <c:v>0.7</c:v>
                </c:pt>
                <c:pt idx="27">
                  <c:v>0.7</c:v>
                </c:pt>
                <c:pt idx="28">
                  <c:v>0.7</c:v>
                </c:pt>
                <c:pt idx="29">
                  <c:v>0.7</c:v>
                </c:pt>
                <c:pt idx="30">
                  <c:v>0.7</c:v>
                </c:pt>
                <c:pt idx="31">
                  <c:v>1.2</c:v>
                </c:pt>
                <c:pt idx="32">
                  <c:v>1.2</c:v>
                </c:pt>
                <c:pt idx="33">
                  <c:v>1.2</c:v>
                </c:pt>
                <c:pt idx="34">
                  <c:v>1.2</c:v>
                </c:pt>
                <c:pt idx="35">
                  <c:v>1.2</c:v>
                </c:pt>
                <c:pt idx="36">
                  <c:v>0.7</c:v>
                </c:pt>
                <c:pt idx="37">
                  <c:v>0.7</c:v>
                </c:pt>
                <c:pt idx="38">
                  <c:v>0.7</c:v>
                </c:pt>
                <c:pt idx="39">
                  <c:v>0.7</c:v>
                </c:pt>
                <c:pt idx="40">
                  <c:v>0.7</c:v>
                </c:pt>
                <c:pt idx="41">
                  <c:v>0.7</c:v>
                </c:pt>
                <c:pt idx="42">
                  <c:v>0.7</c:v>
                </c:pt>
                <c:pt idx="43">
                  <c:v>0.7</c:v>
                </c:pt>
                <c:pt idx="44">
                  <c:v>0.7</c:v>
                </c:pt>
                <c:pt idx="45">
                  <c:v>0.7</c:v>
                </c:pt>
                <c:pt idx="46">
                  <c:v>0.7</c:v>
                </c:pt>
                <c:pt idx="47">
                  <c:v>0.7</c:v>
                </c:pt>
                <c:pt idx="48">
                  <c:v>0.7</c:v>
                </c:pt>
                <c:pt idx="49">
                  <c:v>0.7</c:v>
                </c:pt>
                <c:pt idx="50">
                  <c:v>0.7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</c:ser>
        <c:ser>
          <c:idx val="2"/>
          <c:order val="1"/>
          <c:tx>
            <c:v>D (Sim)</c:v>
          </c:tx>
          <c:spPr>
            <a:ln w="25400">
              <a:solidFill>
                <a:schemeClr val="accent6">
                  <a:lumMod val="75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Simulation!$C$2:$C$102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Simulation!$AH$2:$AH$102</c:f>
              <c:numCache>
                <c:formatCode>General</c:formatCode>
                <c:ptCount val="10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0.7</c:v>
                </c:pt>
                <c:pt idx="8">
                  <c:v>0.7</c:v>
                </c:pt>
                <c:pt idx="9">
                  <c:v>0.7</c:v>
                </c:pt>
                <c:pt idx="10">
                  <c:v>0.7</c:v>
                </c:pt>
                <c:pt idx="11">
                  <c:v>0.7</c:v>
                </c:pt>
                <c:pt idx="12">
                  <c:v>0.7</c:v>
                </c:pt>
                <c:pt idx="13">
                  <c:v>0.7</c:v>
                </c:pt>
                <c:pt idx="14">
                  <c:v>0.7</c:v>
                </c:pt>
                <c:pt idx="15">
                  <c:v>0.7</c:v>
                </c:pt>
                <c:pt idx="16">
                  <c:v>0.7</c:v>
                </c:pt>
                <c:pt idx="17">
                  <c:v>0.7</c:v>
                </c:pt>
                <c:pt idx="18">
                  <c:v>0.7</c:v>
                </c:pt>
                <c:pt idx="19">
                  <c:v>0.7</c:v>
                </c:pt>
                <c:pt idx="20">
                  <c:v>0.7</c:v>
                </c:pt>
                <c:pt idx="21">
                  <c:v>0.7</c:v>
                </c:pt>
                <c:pt idx="22">
                  <c:v>0.7</c:v>
                </c:pt>
                <c:pt idx="23">
                  <c:v>0.7</c:v>
                </c:pt>
                <c:pt idx="24">
                  <c:v>0.7</c:v>
                </c:pt>
                <c:pt idx="25">
                  <c:v>0.7</c:v>
                </c:pt>
                <c:pt idx="26">
                  <c:v>0.7</c:v>
                </c:pt>
                <c:pt idx="27">
                  <c:v>0.7</c:v>
                </c:pt>
                <c:pt idx="28">
                  <c:v>0.7</c:v>
                </c:pt>
                <c:pt idx="29">
                  <c:v>0.7</c:v>
                </c:pt>
                <c:pt idx="30">
                  <c:v>0.7</c:v>
                </c:pt>
                <c:pt idx="31">
                  <c:v>0.7</c:v>
                </c:pt>
                <c:pt idx="32">
                  <c:v>1.2</c:v>
                </c:pt>
                <c:pt idx="33">
                  <c:v>1.2</c:v>
                </c:pt>
                <c:pt idx="34">
                  <c:v>1.2</c:v>
                </c:pt>
                <c:pt idx="35">
                  <c:v>1.2</c:v>
                </c:pt>
                <c:pt idx="36">
                  <c:v>1.2</c:v>
                </c:pt>
                <c:pt idx="37">
                  <c:v>0.7</c:v>
                </c:pt>
                <c:pt idx="38">
                  <c:v>0.7</c:v>
                </c:pt>
                <c:pt idx="39">
                  <c:v>0.7</c:v>
                </c:pt>
                <c:pt idx="40">
                  <c:v>0.7</c:v>
                </c:pt>
                <c:pt idx="41">
                  <c:v>0.7</c:v>
                </c:pt>
                <c:pt idx="42">
                  <c:v>0.7</c:v>
                </c:pt>
                <c:pt idx="43">
                  <c:v>0.7</c:v>
                </c:pt>
                <c:pt idx="44">
                  <c:v>0.7</c:v>
                </c:pt>
                <c:pt idx="45">
                  <c:v>0.7</c:v>
                </c:pt>
                <c:pt idx="46">
                  <c:v>0.7</c:v>
                </c:pt>
                <c:pt idx="47">
                  <c:v>0.7</c:v>
                </c:pt>
                <c:pt idx="48">
                  <c:v>0.7</c:v>
                </c:pt>
                <c:pt idx="49">
                  <c:v>0.7</c:v>
                </c:pt>
                <c:pt idx="50">
                  <c:v>0.7</c:v>
                </c:pt>
                <c:pt idx="51">
                  <c:v>0.7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144640"/>
        <c:axId val="102146816"/>
      </c:scatterChart>
      <c:valAx>
        <c:axId val="102144640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02146816"/>
        <c:crosses val="autoZero"/>
        <c:crossBetween val="midCat"/>
      </c:valAx>
      <c:valAx>
        <c:axId val="102146816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02144640"/>
        <c:crosses val="autoZero"/>
        <c:crossBetween val="midCat"/>
      </c:valAx>
      <c:spPr>
        <a:ln>
          <a:solidFill>
            <a:schemeClr val="bg1">
              <a:lumMod val="75000"/>
            </a:schemeClr>
          </a:solidFill>
        </a:ln>
      </c:spPr>
    </c:plotArea>
    <c:legend>
      <c:legendPos val="r"/>
      <c:overlay val="0"/>
    </c:legend>
    <c:plotVisOnly val="1"/>
    <c:dispBlanksAs val="gap"/>
    <c:showDLblsOverMax val="0"/>
  </c:char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A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2"/>
          <c:tx>
            <c:v>D (SBC)</c:v>
          </c:tx>
          <c:spPr>
            <a:ln w="254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SBC!$B$2:$B$102</c:f>
              <c:numCache>
                <c:formatCode>General</c:formatCode>
                <c:ptCount val="1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</c:numCache>
            </c:numRef>
          </c:xVal>
          <c:yVal>
            <c:numRef>
              <c:f>SBC!$D$2:$D$102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0.7</c:v>
                </c:pt>
                <c:pt idx="7">
                  <c:v>0.7</c:v>
                </c:pt>
                <c:pt idx="8">
                  <c:v>0.7</c:v>
                </c:pt>
                <c:pt idx="9">
                  <c:v>0.7</c:v>
                </c:pt>
                <c:pt idx="10">
                  <c:v>0.7</c:v>
                </c:pt>
                <c:pt idx="11">
                  <c:v>0.7</c:v>
                </c:pt>
                <c:pt idx="12">
                  <c:v>0.7</c:v>
                </c:pt>
                <c:pt idx="13">
                  <c:v>0.7</c:v>
                </c:pt>
                <c:pt idx="14">
                  <c:v>0.7</c:v>
                </c:pt>
                <c:pt idx="15">
                  <c:v>0.7</c:v>
                </c:pt>
                <c:pt idx="16">
                  <c:v>0.7</c:v>
                </c:pt>
                <c:pt idx="17">
                  <c:v>0.7</c:v>
                </c:pt>
                <c:pt idx="18">
                  <c:v>0.7</c:v>
                </c:pt>
                <c:pt idx="19">
                  <c:v>0.7</c:v>
                </c:pt>
                <c:pt idx="20">
                  <c:v>0.7</c:v>
                </c:pt>
                <c:pt idx="21">
                  <c:v>0.7</c:v>
                </c:pt>
                <c:pt idx="22">
                  <c:v>0.7</c:v>
                </c:pt>
                <c:pt idx="23">
                  <c:v>0.7</c:v>
                </c:pt>
                <c:pt idx="24">
                  <c:v>0.7</c:v>
                </c:pt>
                <c:pt idx="25">
                  <c:v>0.7</c:v>
                </c:pt>
                <c:pt idx="26">
                  <c:v>0.7</c:v>
                </c:pt>
                <c:pt idx="27">
                  <c:v>0.7</c:v>
                </c:pt>
                <c:pt idx="28">
                  <c:v>0.7</c:v>
                </c:pt>
                <c:pt idx="29">
                  <c:v>0.7</c:v>
                </c:pt>
                <c:pt idx="30">
                  <c:v>0.7</c:v>
                </c:pt>
                <c:pt idx="31">
                  <c:v>1.2</c:v>
                </c:pt>
                <c:pt idx="32">
                  <c:v>1.2</c:v>
                </c:pt>
                <c:pt idx="33">
                  <c:v>1.2</c:v>
                </c:pt>
                <c:pt idx="34">
                  <c:v>1.2</c:v>
                </c:pt>
                <c:pt idx="35">
                  <c:v>1.2</c:v>
                </c:pt>
                <c:pt idx="36">
                  <c:v>0.7</c:v>
                </c:pt>
                <c:pt idx="37">
                  <c:v>0.7</c:v>
                </c:pt>
                <c:pt idx="38">
                  <c:v>0.7</c:v>
                </c:pt>
                <c:pt idx="39">
                  <c:v>0.7</c:v>
                </c:pt>
                <c:pt idx="40">
                  <c:v>0.7</c:v>
                </c:pt>
                <c:pt idx="41">
                  <c:v>0.7</c:v>
                </c:pt>
                <c:pt idx="42">
                  <c:v>0.7</c:v>
                </c:pt>
                <c:pt idx="43">
                  <c:v>0.7</c:v>
                </c:pt>
                <c:pt idx="44">
                  <c:v>0.7</c:v>
                </c:pt>
                <c:pt idx="45">
                  <c:v>0.7</c:v>
                </c:pt>
                <c:pt idx="46">
                  <c:v>0.7</c:v>
                </c:pt>
                <c:pt idx="47">
                  <c:v>0.7</c:v>
                </c:pt>
                <c:pt idx="48">
                  <c:v>0.7</c:v>
                </c:pt>
                <c:pt idx="49">
                  <c:v>0.7</c:v>
                </c:pt>
                <c:pt idx="50">
                  <c:v>0.7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</c:ser>
        <c:ser>
          <c:idx val="2"/>
          <c:order val="3"/>
          <c:tx>
            <c:v>D (Sim)</c:v>
          </c:tx>
          <c:spPr>
            <a:ln w="25400">
              <a:solidFill>
                <a:schemeClr val="accent6">
                  <a:lumMod val="75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Simulation!$C$2:$C$102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Simulation!$AH$2:$AH$102</c:f>
              <c:numCache>
                <c:formatCode>General</c:formatCode>
                <c:ptCount val="10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0.7</c:v>
                </c:pt>
                <c:pt idx="8">
                  <c:v>0.7</c:v>
                </c:pt>
                <c:pt idx="9">
                  <c:v>0.7</c:v>
                </c:pt>
                <c:pt idx="10">
                  <c:v>0.7</c:v>
                </c:pt>
                <c:pt idx="11">
                  <c:v>0.7</c:v>
                </c:pt>
                <c:pt idx="12">
                  <c:v>0.7</c:v>
                </c:pt>
                <c:pt idx="13">
                  <c:v>0.7</c:v>
                </c:pt>
                <c:pt idx="14">
                  <c:v>0.7</c:v>
                </c:pt>
                <c:pt idx="15">
                  <c:v>0.7</c:v>
                </c:pt>
                <c:pt idx="16">
                  <c:v>0.7</c:v>
                </c:pt>
                <c:pt idx="17">
                  <c:v>0.7</c:v>
                </c:pt>
                <c:pt idx="18">
                  <c:v>0.7</c:v>
                </c:pt>
                <c:pt idx="19">
                  <c:v>0.7</c:v>
                </c:pt>
                <c:pt idx="20">
                  <c:v>0.7</c:v>
                </c:pt>
                <c:pt idx="21">
                  <c:v>0.7</c:v>
                </c:pt>
                <c:pt idx="22">
                  <c:v>0.7</c:v>
                </c:pt>
                <c:pt idx="23">
                  <c:v>0.7</c:v>
                </c:pt>
                <c:pt idx="24">
                  <c:v>0.7</c:v>
                </c:pt>
                <c:pt idx="25">
                  <c:v>0.7</c:v>
                </c:pt>
                <c:pt idx="26">
                  <c:v>0.7</c:v>
                </c:pt>
                <c:pt idx="27">
                  <c:v>0.7</c:v>
                </c:pt>
                <c:pt idx="28">
                  <c:v>0.7</c:v>
                </c:pt>
                <c:pt idx="29">
                  <c:v>0.7</c:v>
                </c:pt>
                <c:pt idx="30">
                  <c:v>0.7</c:v>
                </c:pt>
                <c:pt idx="31">
                  <c:v>0.7</c:v>
                </c:pt>
                <c:pt idx="32">
                  <c:v>1.2</c:v>
                </c:pt>
                <c:pt idx="33">
                  <c:v>1.2</c:v>
                </c:pt>
                <c:pt idx="34">
                  <c:v>1.2</c:v>
                </c:pt>
                <c:pt idx="35">
                  <c:v>1.2</c:v>
                </c:pt>
                <c:pt idx="36">
                  <c:v>1.2</c:v>
                </c:pt>
                <c:pt idx="37">
                  <c:v>0.7</c:v>
                </c:pt>
                <c:pt idx="38">
                  <c:v>0.7</c:v>
                </c:pt>
                <c:pt idx="39">
                  <c:v>0.7</c:v>
                </c:pt>
                <c:pt idx="40">
                  <c:v>0.7</c:v>
                </c:pt>
                <c:pt idx="41">
                  <c:v>0.7</c:v>
                </c:pt>
                <c:pt idx="42">
                  <c:v>0.7</c:v>
                </c:pt>
                <c:pt idx="43">
                  <c:v>0.7</c:v>
                </c:pt>
                <c:pt idx="44">
                  <c:v>0.7</c:v>
                </c:pt>
                <c:pt idx="45">
                  <c:v>0.7</c:v>
                </c:pt>
                <c:pt idx="46">
                  <c:v>0.7</c:v>
                </c:pt>
                <c:pt idx="47">
                  <c:v>0.7</c:v>
                </c:pt>
                <c:pt idx="48">
                  <c:v>0.7</c:v>
                </c:pt>
                <c:pt idx="49">
                  <c:v>0.7</c:v>
                </c:pt>
                <c:pt idx="50">
                  <c:v>0.7</c:v>
                </c:pt>
                <c:pt idx="51">
                  <c:v>0.7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</c:ser>
        <c:ser>
          <c:idx val="3"/>
          <c:order val="0"/>
          <c:tx>
            <c:v>X (SBC)</c:v>
          </c:tx>
          <c:spPr>
            <a:ln w="25400"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SBC!$B$2:$B$102</c:f>
              <c:numCache>
                <c:formatCode>General</c:formatCode>
                <c:ptCount val="1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</c:numCache>
            </c:numRef>
          </c:xVal>
          <c:yVal>
            <c:numRef>
              <c:f>SBC!$K$2:$K$102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0.27</c:v>
                </c:pt>
                <c:pt idx="5">
                  <c:v>0.43</c:v>
                </c:pt>
                <c:pt idx="6">
                  <c:v>0.52</c:v>
                </c:pt>
                <c:pt idx="7">
                  <c:v>0.57999999999999996</c:v>
                </c:pt>
                <c:pt idx="8">
                  <c:v>0.62</c:v>
                </c:pt>
                <c:pt idx="9">
                  <c:v>0.65</c:v>
                </c:pt>
                <c:pt idx="10">
                  <c:v>0.67</c:v>
                </c:pt>
                <c:pt idx="11">
                  <c:v>0.69</c:v>
                </c:pt>
                <c:pt idx="12">
                  <c:v>0.71</c:v>
                </c:pt>
                <c:pt idx="13">
                  <c:v>0.72</c:v>
                </c:pt>
                <c:pt idx="14">
                  <c:v>0.74</c:v>
                </c:pt>
                <c:pt idx="15">
                  <c:v>0.75</c:v>
                </c:pt>
                <c:pt idx="16">
                  <c:v>0.76</c:v>
                </c:pt>
                <c:pt idx="17">
                  <c:v>0.77</c:v>
                </c:pt>
                <c:pt idx="18">
                  <c:v>0.77</c:v>
                </c:pt>
                <c:pt idx="19">
                  <c:v>0.78</c:v>
                </c:pt>
                <c:pt idx="20">
                  <c:v>0.79</c:v>
                </c:pt>
                <c:pt idx="21">
                  <c:v>0.79</c:v>
                </c:pt>
                <c:pt idx="22">
                  <c:v>0.8</c:v>
                </c:pt>
                <c:pt idx="23">
                  <c:v>0.8</c:v>
                </c:pt>
                <c:pt idx="24">
                  <c:v>0.81</c:v>
                </c:pt>
                <c:pt idx="25">
                  <c:v>0.81</c:v>
                </c:pt>
                <c:pt idx="26">
                  <c:v>0.82</c:v>
                </c:pt>
                <c:pt idx="27">
                  <c:v>0.82</c:v>
                </c:pt>
                <c:pt idx="28">
                  <c:v>0.82</c:v>
                </c:pt>
                <c:pt idx="29">
                  <c:v>0.83</c:v>
                </c:pt>
                <c:pt idx="30">
                  <c:v>0.83</c:v>
                </c:pt>
                <c:pt idx="31">
                  <c:v>0.83</c:v>
                </c:pt>
                <c:pt idx="32">
                  <c:v>0.84</c:v>
                </c:pt>
                <c:pt idx="33">
                  <c:v>0.84</c:v>
                </c:pt>
                <c:pt idx="34">
                  <c:v>0.84</c:v>
                </c:pt>
                <c:pt idx="35">
                  <c:v>0.81</c:v>
                </c:pt>
                <c:pt idx="36">
                  <c:v>0.78</c:v>
                </c:pt>
                <c:pt idx="37">
                  <c:v>0.74</c:v>
                </c:pt>
                <c:pt idx="38">
                  <c:v>0.74</c:v>
                </c:pt>
                <c:pt idx="39">
                  <c:v>0.75</c:v>
                </c:pt>
                <c:pt idx="40">
                  <c:v>0.76</c:v>
                </c:pt>
                <c:pt idx="41">
                  <c:v>0.77</c:v>
                </c:pt>
                <c:pt idx="42">
                  <c:v>0.78</c:v>
                </c:pt>
                <c:pt idx="43">
                  <c:v>0.78</c:v>
                </c:pt>
                <c:pt idx="44">
                  <c:v>0.79</c:v>
                </c:pt>
                <c:pt idx="45">
                  <c:v>0.79</c:v>
                </c:pt>
                <c:pt idx="46">
                  <c:v>0.75</c:v>
                </c:pt>
                <c:pt idx="47">
                  <c:v>0.69</c:v>
                </c:pt>
                <c:pt idx="48">
                  <c:v>0.6</c:v>
                </c:pt>
                <c:pt idx="49">
                  <c:v>0.48</c:v>
                </c:pt>
                <c:pt idx="50">
                  <c:v>0.3</c:v>
                </c:pt>
                <c:pt idx="51">
                  <c:v>0.12</c:v>
                </c:pt>
                <c:pt idx="52">
                  <c:v>0.02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X (Sim)</c:v>
          </c:tx>
          <c:spPr>
            <a:ln w="25400">
              <a:solidFill>
                <a:schemeClr val="accent3">
                  <a:lumMod val="75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Simulation!$C$2:$C$102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Simulation!$AJ$2:$AJ$102</c:f>
              <c:numCache>
                <c:formatCode>General</c:formatCode>
                <c:ptCount val="10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0.12686</c:v>
                </c:pt>
                <c:pt idx="6">
                  <c:v>0.331152</c:v>
                </c:pt>
                <c:pt idx="7">
                  <c:v>0.47449599999999997</c:v>
                </c:pt>
                <c:pt idx="8">
                  <c:v>0.55740000000000001</c:v>
                </c:pt>
                <c:pt idx="9">
                  <c:v>0.61287499999999995</c:v>
                </c:pt>
                <c:pt idx="10">
                  <c:v>0.65022500000000005</c:v>
                </c:pt>
                <c:pt idx="11">
                  <c:v>0.68003999999999998</c:v>
                </c:pt>
                <c:pt idx="12">
                  <c:v>0.70099599999999995</c:v>
                </c:pt>
                <c:pt idx="13">
                  <c:v>0.72118899999999997</c:v>
                </c:pt>
                <c:pt idx="14">
                  <c:v>0.737869</c:v>
                </c:pt>
                <c:pt idx="15">
                  <c:v>0.75139400000000001</c:v>
                </c:pt>
                <c:pt idx="16">
                  <c:v>0.76039800000000002</c:v>
                </c:pt>
                <c:pt idx="17">
                  <c:v>0.77209000000000005</c:v>
                </c:pt>
                <c:pt idx="18">
                  <c:v>0.78093500000000005</c:v>
                </c:pt>
                <c:pt idx="19">
                  <c:v>0.78723900000000002</c:v>
                </c:pt>
                <c:pt idx="20">
                  <c:v>0.79420299999999999</c:v>
                </c:pt>
                <c:pt idx="21">
                  <c:v>0.80293700000000001</c:v>
                </c:pt>
                <c:pt idx="22">
                  <c:v>0.8095</c:v>
                </c:pt>
                <c:pt idx="23">
                  <c:v>0.81400600000000001</c:v>
                </c:pt>
                <c:pt idx="24">
                  <c:v>0.81795399999999996</c:v>
                </c:pt>
                <c:pt idx="25">
                  <c:v>0.82304600000000006</c:v>
                </c:pt>
                <c:pt idx="26">
                  <c:v>0.82822700000000005</c:v>
                </c:pt>
                <c:pt idx="27">
                  <c:v>0.83258500000000002</c:v>
                </c:pt>
                <c:pt idx="28">
                  <c:v>0.833372</c:v>
                </c:pt>
                <c:pt idx="29">
                  <c:v>0.83881700000000003</c:v>
                </c:pt>
                <c:pt idx="30">
                  <c:v>0.84357199999999999</c:v>
                </c:pt>
                <c:pt idx="31">
                  <c:v>0.84364799999999995</c:v>
                </c:pt>
                <c:pt idx="32">
                  <c:v>0.84507399999999999</c:v>
                </c:pt>
                <c:pt idx="33">
                  <c:v>0.84949799999999998</c:v>
                </c:pt>
                <c:pt idx="34">
                  <c:v>0.85113499999999997</c:v>
                </c:pt>
                <c:pt idx="35">
                  <c:v>0.85336599999999996</c:v>
                </c:pt>
                <c:pt idx="36">
                  <c:v>0.787327</c:v>
                </c:pt>
                <c:pt idx="37">
                  <c:v>0.66591100000000003</c:v>
                </c:pt>
                <c:pt idx="38">
                  <c:v>0.56076499999999996</c:v>
                </c:pt>
                <c:pt idx="39">
                  <c:v>0.60775599999999996</c:v>
                </c:pt>
                <c:pt idx="40">
                  <c:v>0.70172900000000005</c:v>
                </c:pt>
                <c:pt idx="41">
                  <c:v>0.741421</c:v>
                </c:pt>
                <c:pt idx="42">
                  <c:v>0.764957</c:v>
                </c:pt>
                <c:pt idx="43">
                  <c:v>0.78204499999999999</c:v>
                </c:pt>
                <c:pt idx="44">
                  <c:v>0.79259299999999999</c:v>
                </c:pt>
                <c:pt idx="45">
                  <c:v>0.80188000000000004</c:v>
                </c:pt>
                <c:pt idx="46">
                  <c:v>0.79884599999999995</c:v>
                </c:pt>
                <c:pt idx="47">
                  <c:v>0.714445</c:v>
                </c:pt>
                <c:pt idx="48">
                  <c:v>0.57644200000000001</c:v>
                </c:pt>
                <c:pt idx="49">
                  <c:v>0.45888499999999999</c:v>
                </c:pt>
                <c:pt idx="50">
                  <c:v>0.36497000000000002</c:v>
                </c:pt>
                <c:pt idx="51">
                  <c:v>0.288937</c:v>
                </c:pt>
                <c:pt idx="52">
                  <c:v>0.227491</c:v>
                </c:pt>
                <c:pt idx="53">
                  <c:v>0.17812700000000001</c:v>
                </c:pt>
                <c:pt idx="54">
                  <c:v>0.13957800000000001</c:v>
                </c:pt>
                <c:pt idx="55">
                  <c:v>0.109024</c:v>
                </c:pt>
                <c:pt idx="56">
                  <c:v>8.4574999999999997E-2</c:v>
                </c:pt>
                <c:pt idx="57">
                  <c:v>6.6211000000000006E-2</c:v>
                </c:pt>
                <c:pt idx="58">
                  <c:v>5.0723999999999998E-2</c:v>
                </c:pt>
                <c:pt idx="59">
                  <c:v>3.9149999999999997E-2</c:v>
                </c:pt>
                <c:pt idx="60">
                  <c:v>3.0176999999999999E-2</c:v>
                </c:pt>
                <c:pt idx="61">
                  <c:v>2.2838000000000001E-2</c:v>
                </c:pt>
                <c:pt idx="62">
                  <c:v>1.7857000000000001E-2</c:v>
                </c:pt>
                <c:pt idx="63">
                  <c:v>1.3426E-2</c:v>
                </c:pt>
                <c:pt idx="64">
                  <c:v>1.0175E-2</c:v>
                </c:pt>
                <c:pt idx="65">
                  <c:v>7.6109999999999997E-3</c:v>
                </c:pt>
                <c:pt idx="66">
                  <c:v>5.764E-3</c:v>
                </c:pt>
                <c:pt idx="67">
                  <c:v>4.248E-3</c:v>
                </c:pt>
                <c:pt idx="68">
                  <c:v>3.13E-3</c:v>
                </c:pt>
                <c:pt idx="69">
                  <c:v>2.3939999999999999E-3</c:v>
                </c:pt>
                <c:pt idx="70">
                  <c:v>1.7639999999999999E-3</c:v>
                </c:pt>
                <c:pt idx="71">
                  <c:v>1.253E-3</c:v>
                </c:pt>
                <c:pt idx="72">
                  <c:v>9.0300000000000005E-4</c:v>
                </c:pt>
                <c:pt idx="73">
                  <c:v>6.5099999999999999E-4</c:v>
                </c:pt>
                <c:pt idx="74">
                  <c:v>4.8500000000000003E-4</c:v>
                </c:pt>
                <c:pt idx="75">
                  <c:v>3.3100000000000002E-4</c:v>
                </c:pt>
                <c:pt idx="76">
                  <c:v>2.5900000000000001E-4</c:v>
                </c:pt>
                <c:pt idx="77">
                  <c:v>1.46E-4</c:v>
                </c:pt>
                <c:pt idx="78">
                  <c:v>1.06E-4</c:v>
                </c:pt>
                <c:pt idx="79">
                  <c:v>6.0000000000000002E-5</c:v>
                </c:pt>
                <c:pt idx="80">
                  <c:v>4.6E-5</c:v>
                </c:pt>
                <c:pt idx="81">
                  <c:v>3.8999999999999999E-5</c:v>
                </c:pt>
                <c:pt idx="82">
                  <c:v>3.8000000000000002E-5</c:v>
                </c:pt>
                <c:pt idx="83">
                  <c:v>2.6999999999999999E-5</c:v>
                </c:pt>
                <c:pt idx="84">
                  <c:v>1.8E-5</c:v>
                </c:pt>
                <c:pt idx="85">
                  <c:v>1.0000000000000001E-5</c:v>
                </c:pt>
                <c:pt idx="86">
                  <c:v>6.9999999999999999E-6</c:v>
                </c:pt>
                <c:pt idx="87">
                  <c:v>9.9999999999999995E-7</c:v>
                </c:pt>
                <c:pt idx="88">
                  <c:v>3.0000000000000001E-6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219136"/>
        <c:axId val="102225408"/>
      </c:scatterChart>
      <c:valAx>
        <c:axId val="102219136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02225408"/>
        <c:crosses val="autoZero"/>
        <c:crossBetween val="midCat"/>
      </c:valAx>
      <c:valAx>
        <c:axId val="102225408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02219136"/>
        <c:crosses val="autoZero"/>
        <c:crossBetween val="midCat"/>
      </c:valAx>
      <c:spPr>
        <a:ln>
          <a:solidFill>
            <a:schemeClr val="bg1">
              <a:lumMod val="75000"/>
            </a:schemeClr>
          </a:solidFill>
        </a:ln>
      </c:spPr>
    </c:plotArea>
    <c:legend>
      <c:legendPos val="r"/>
      <c:overlay val="0"/>
    </c:legend>
    <c:plotVisOnly val="1"/>
    <c:dispBlanksAs val="gap"/>
    <c:showDLblsOverMax val="0"/>
  </c:char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A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3"/>
          <c:order val="0"/>
          <c:tx>
            <c:v>X (kum.) (SBC)</c:v>
          </c:tx>
          <c:spPr>
            <a:ln w="25400"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SBC!$B$2:$B$102</c:f>
              <c:numCache>
                <c:formatCode>General</c:formatCode>
                <c:ptCount val="1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</c:numCache>
            </c:numRef>
          </c:xVal>
          <c:yVal>
            <c:numRef>
              <c:f>SBC!$Q$2:$Q$102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0.27</c:v>
                </c:pt>
                <c:pt idx="5">
                  <c:v>0.7</c:v>
                </c:pt>
                <c:pt idx="6">
                  <c:v>1.22</c:v>
                </c:pt>
                <c:pt idx="7">
                  <c:v>1.7999999999999998</c:v>
                </c:pt>
                <c:pt idx="8">
                  <c:v>2.42</c:v>
                </c:pt>
                <c:pt idx="9">
                  <c:v>3.07</c:v>
                </c:pt>
                <c:pt idx="10">
                  <c:v>3.7399999999999998</c:v>
                </c:pt>
                <c:pt idx="11">
                  <c:v>4.43</c:v>
                </c:pt>
                <c:pt idx="12">
                  <c:v>5.14</c:v>
                </c:pt>
                <c:pt idx="13">
                  <c:v>5.8599999999999994</c:v>
                </c:pt>
                <c:pt idx="14">
                  <c:v>6.6</c:v>
                </c:pt>
                <c:pt idx="15">
                  <c:v>7.35</c:v>
                </c:pt>
                <c:pt idx="16">
                  <c:v>8.11</c:v>
                </c:pt>
                <c:pt idx="17">
                  <c:v>8.879999999999999</c:v>
                </c:pt>
                <c:pt idx="18">
                  <c:v>9.6499999999999986</c:v>
                </c:pt>
                <c:pt idx="19">
                  <c:v>10.429999999999998</c:v>
                </c:pt>
                <c:pt idx="20">
                  <c:v>11.219999999999999</c:v>
                </c:pt>
                <c:pt idx="21">
                  <c:v>12.009999999999998</c:v>
                </c:pt>
                <c:pt idx="22">
                  <c:v>12.809999999999999</c:v>
                </c:pt>
                <c:pt idx="23">
                  <c:v>13.61</c:v>
                </c:pt>
                <c:pt idx="24">
                  <c:v>14.42</c:v>
                </c:pt>
                <c:pt idx="25">
                  <c:v>15.23</c:v>
                </c:pt>
                <c:pt idx="26">
                  <c:v>16.05</c:v>
                </c:pt>
                <c:pt idx="27">
                  <c:v>16.87</c:v>
                </c:pt>
                <c:pt idx="28">
                  <c:v>17.690000000000001</c:v>
                </c:pt>
                <c:pt idx="29">
                  <c:v>18.52</c:v>
                </c:pt>
                <c:pt idx="30">
                  <c:v>19.349999999999998</c:v>
                </c:pt>
                <c:pt idx="31">
                  <c:v>20.179999999999996</c:v>
                </c:pt>
                <c:pt idx="32">
                  <c:v>21.019999999999996</c:v>
                </c:pt>
                <c:pt idx="33">
                  <c:v>21.859999999999996</c:v>
                </c:pt>
                <c:pt idx="34">
                  <c:v>22.699999999999996</c:v>
                </c:pt>
                <c:pt idx="35">
                  <c:v>23.509999999999994</c:v>
                </c:pt>
                <c:pt idx="36">
                  <c:v>24.289999999999996</c:v>
                </c:pt>
                <c:pt idx="37">
                  <c:v>25.029999999999994</c:v>
                </c:pt>
                <c:pt idx="38">
                  <c:v>25.769999999999992</c:v>
                </c:pt>
                <c:pt idx="39">
                  <c:v>26.519999999999992</c:v>
                </c:pt>
                <c:pt idx="40">
                  <c:v>27.279999999999994</c:v>
                </c:pt>
                <c:pt idx="41">
                  <c:v>28.049999999999994</c:v>
                </c:pt>
                <c:pt idx="42">
                  <c:v>28.829999999999995</c:v>
                </c:pt>
                <c:pt idx="43">
                  <c:v>29.609999999999996</c:v>
                </c:pt>
                <c:pt idx="44">
                  <c:v>30.399999999999995</c:v>
                </c:pt>
                <c:pt idx="45">
                  <c:v>31.189999999999994</c:v>
                </c:pt>
                <c:pt idx="46">
                  <c:v>31.939999999999994</c:v>
                </c:pt>
                <c:pt idx="47">
                  <c:v>32.629999999999995</c:v>
                </c:pt>
                <c:pt idx="48">
                  <c:v>33.229999999999997</c:v>
                </c:pt>
                <c:pt idx="49">
                  <c:v>33.709999999999994</c:v>
                </c:pt>
                <c:pt idx="50">
                  <c:v>34.009999999999991</c:v>
                </c:pt>
                <c:pt idx="51">
                  <c:v>34.129999999999988</c:v>
                </c:pt>
                <c:pt idx="52">
                  <c:v>34.149999999999991</c:v>
                </c:pt>
                <c:pt idx="53">
                  <c:v>34.149999999999991</c:v>
                </c:pt>
                <c:pt idx="54">
                  <c:v>34.149999999999991</c:v>
                </c:pt>
                <c:pt idx="55">
                  <c:v>34.149999999999991</c:v>
                </c:pt>
                <c:pt idx="56">
                  <c:v>34.149999999999991</c:v>
                </c:pt>
                <c:pt idx="57">
                  <c:v>34.149999999999991</c:v>
                </c:pt>
                <c:pt idx="58">
                  <c:v>34.149999999999991</c:v>
                </c:pt>
                <c:pt idx="59">
                  <c:v>34.149999999999991</c:v>
                </c:pt>
                <c:pt idx="60">
                  <c:v>34.149999999999991</c:v>
                </c:pt>
                <c:pt idx="61">
                  <c:v>34.149999999999991</c:v>
                </c:pt>
                <c:pt idx="62">
                  <c:v>34.149999999999991</c:v>
                </c:pt>
                <c:pt idx="63">
                  <c:v>34.149999999999991</c:v>
                </c:pt>
                <c:pt idx="64">
                  <c:v>34.149999999999991</c:v>
                </c:pt>
                <c:pt idx="65">
                  <c:v>34.149999999999991</c:v>
                </c:pt>
                <c:pt idx="66">
                  <c:v>34.149999999999991</c:v>
                </c:pt>
                <c:pt idx="67">
                  <c:v>34.149999999999991</c:v>
                </c:pt>
                <c:pt idx="68">
                  <c:v>34.149999999999991</c:v>
                </c:pt>
                <c:pt idx="69">
                  <c:v>34.149999999999991</c:v>
                </c:pt>
                <c:pt idx="70">
                  <c:v>34.149999999999991</c:v>
                </c:pt>
                <c:pt idx="71">
                  <c:v>34.149999999999991</c:v>
                </c:pt>
                <c:pt idx="72">
                  <c:v>34.149999999999991</c:v>
                </c:pt>
                <c:pt idx="73">
                  <c:v>34.149999999999991</c:v>
                </c:pt>
                <c:pt idx="74">
                  <c:v>34.149999999999991</c:v>
                </c:pt>
                <c:pt idx="75">
                  <c:v>34.149999999999991</c:v>
                </c:pt>
                <c:pt idx="76">
                  <c:v>34.149999999999991</c:v>
                </c:pt>
                <c:pt idx="77">
                  <c:v>34.149999999999991</c:v>
                </c:pt>
                <c:pt idx="78">
                  <c:v>34.149999999999991</c:v>
                </c:pt>
                <c:pt idx="79">
                  <c:v>34.149999999999991</c:v>
                </c:pt>
                <c:pt idx="80">
                  <c:v>34.149999999999991</c:v>
                </c:pt>
                <c:pt idx="81">
                  <c:v>34.149999999999991</c:v>
                </c:pt>
                <c:pt idx="82">
                  <c:v>34.149999999999991</c:v>
                </c:pt>
                <c:pt idx="83">
                  <c:v>34.149999999999991</c:v>
                </c:pt>
                <c:pt idx="84">
                  <c:v>34.149999999999991</c:v>
                </c:pt>
                <c:pt idx="85">
                  <c:v>34.149999999999991</c:v>
                </c:pt>
                <c:pt idx="86">
                  <c:v>34.149999999999991</c:v>
                </c:pt>
                <c:pt idx="87">
                  <c:v>34.149999999999991</c:v>
                </c:pt>
                <c:pt idx="88">
                  <c:v>34.149999999999991</c:v>
                </c:pt>
                <c:pt idx="89">
                  <c:v>34.149999999999991</c:v>
                </c:pt>
                <c:pt idx="90">
                  <c:v>34.149999999999991</c:v>
                </c:pt>
                <c:pt idx="91">
                  <c:v>34.149999999999991</c:v>
                </c:pt>
                <c:pt idx="92">
                  <c:v>34.149999999999991</c:v>
                </c:pt>
                <c:pt idx="93">
                  <c:v>34.149999999999991</c:v>
                </c:pt>
                <c:pt idx="94">
                  <c:v>34.149999999999991</c:v>
                </c:pt>
                <c:pt idx="95">
                  <c:v>34.149999999999991</c:v>
                </c:pt>
                <c:pt idx="96">
                  <c:v>34.149999999999991</c:v>
                </c:pt>
                <c:pt idx="97">
                  <c:v>34.149999999999991</c:v>
                </c:pt>
                <c:pt idx="98">
                  <c:v>34.149999999999991</c:v>
                </c:pt>
                <c:pt idx="99">
                  <c:v>34.149999999999991</c:v>
                </c:pt>
                <c:pt idx="100">
                  <c:v>34.149999999999991</c:v>
                </c:pt>
              </c:numCache>
            </c:numRef>
          </c:yVal>
          <c:smooth val="1"/>
        </c:ser>
        <c:ser>
          <c:idx val="1"/>
          <c:order val="1"/>
          <c:tx>
            <c:v>X (kum.) (Sim)</c:v>
          </c:tx>
          <c:spPr>
            <a:ln w="25400">
              <a:solidFill>
                <a:schemeClr val="accent3">
                  <a:lumMod val="75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Simulation!$C$2:$C$102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Simulation!$AK$2:$AK$102</c:f>
              <c:numCache>
                <c:formatCode>General</c:formatCode>
                <c:ptCount val="10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0.12686</c:v>
                </c:pt>
                <c:pt idx="6">
                  <c:v>0.45801199999999997</c:v>
                </c:pt>
                <c:pt idx="7">
                  <c:v>0.93250799999999989</c:v>
                </c:pt>
                <c:pt idx="8">
                  <c:v>1.4899079999999998</c:v>
                </c:pt>
                <c:pt idx="9">
                  <c:v>2.1027829999999996</c:v>
                </c:pt>
                <c:pt idx="10">
                  <c:v>2.7530079999999995</c:v>
                </c:pt>
                <c:pt idx="11">
                  <c:v>3.4330479999999994</c:v>
                </c:pt>
                <c:pt idx="12">
                  <c:v>4.1340439999999994</c:v>
                </c:pt>
                <c:pt idx="13">
                  <c:v>4.8552329999999992</c:v>
                </c:pt>
                <c:pt idx="14">
                  <c:v>5.5931019999999991</c:v>
                </c:pt>
                <c:pt idx="15">
                  <c:v>6.3444959999999995</c:v>
                </c:pt>
                <c:pt idx="16">
                  <c:v>7.1048939999999998</c:v>
                </c:pt>
                <c:pt idx="17">
                  <c:v>7.8769840000000002</c:v>
                </c:pt>
                <c:pt idx="18">
                  <c:v>8.6579189999999997</c:v>
                </c:pt>
                <c:pt idx="19">
                  <c:v>9.4451579999999993</c:v>
                </c:pt>
                <c:pt idx="20">
                  <c:v>10.239360999999999</c:v>
                </c:pt>
                <c:pt idx="21">
                  <c:v>11.042297999999999</c:v>
                </c:pt>
                <c:pt idx="22">
                  <c:v>11.851797999999999</c:v>
                </c:pt>
                <c:pt idx="23">
                  <c:v>12.665803999999998</c:v>
                </c:pt>
                <c:pt idx="24">
                  <c:v>13.483757999999998</c:v>
                </c:pt>
                <c:pt idx="25">
                  <c:v>14.306803999999998</c:v>
                </c:pt>
                <c:pt idx="26">
                  <c:v>15.135030999999998</c:v>
                </c:pt>
                <c:pt idx="27">
                  <c:v>15.967615999999998</c:v>
                </c:pt>
                <c:pt idx="28">
                  <c:v>16.800987999999997</c:v>
                </c:pt>
                <c:pt idx="29">
                  <c:v>17.639804999999996</c:v>
                </c:pt>
                <c:pt idx="30">
                  <c:v>18.483376999999997</c:v>
                </c:pt>
                <c:pt idx="31">
                  <c:v>19.327024999999999</c:v>
                </c:pt>
                <c:pt idx="32">
                  <c:v>20.172098999999999</c:v>
                </c:pt>
                <c:pt idx="33">
                  <c:v>21.021597</c:v>
                </c:pt>
                <c:pt idx="34">
                  <c:v>21.872731999999999</c:v>
                </c:pt>
                <c:pt idx="35">
                  <c:v>22.726098</c:v>
                </c:pt>
                <c:pt idx="36">
                  <c:v>23.513425000000002</c:v>
                </c:pt>
                <c:pt idx="37">
                  <c:v>24.179336000000003</c:v>
                </c:pt>
                <c:pt idx="38">
                  <c:v>24.740101000000003</c:v>
                </c:pt>
                <c:pt idx="39">
                  <c:v>25.347857000000001</c:v>
                </c:pt>
                <c:pt idx="40">
                  <c:v>26.049586000000001</c:v>
                </c:pt>
                <c:pt idx="41">
                  <c:v>26.791007</c:v>
                </c:pt>
                <c:pt idx="42">
                  <c:v>27.555963999999999</c:v>
                </c:pt>
                <c:pt idx="43">
                  <c:v>28.338009</c:v>
                </c:pt>
                <c:pt idx="44">
                  <c:v>29.130602</c:v>
                </c:pt>
                <c:pt idx="45">
                  <c:v>29.932482</c:v>
                </c:pt>
                <c:pt idx="46">
                  <c:v>30.731328000000001</c:v>
                </c:pt>
                <c:pt idx="47">
                  <c:v>31.445773000000003</c:v>
                </c:pt>
                <c:pt idx="48">
                  <c:v>32.022215000000003</c:v>
                </c:pt>
                <c:pt idx="49">
                  <c:v>32.481100000000005</c:v>
                </c:pt>
                <c:pt idx="50">
                  <c:v>32.846070000000005</c:v>
                </c:pt>
                <c:pt idx="51">
                  <c:v>33.135007000000002</c:v>
                </c:pt>
                <c:pt idx="52">
                  <c:v>33.362498000000002</c:v>
                </c:pt>
                <c:pt idx="53">
                  <c:v>33.540625000000006</c:v>
                </c:pt>
                <c:pt idx="54">
                  <c:v>33.680203000000006</c:v>
                </c:pt>
                <c:pt idx="55">
                  <c:v>33.789227000000004</c:v>
                </c:pt>
                <c:pt idx="56">
                  <c:v>33.873802000000005</c:v>
                </c:pt>
                <c:pt idx="57">
                  <c:v>33.940013000000008</c:v>
                </c:pt>
                <c:pt idx="58">
                  <c:v>33.99073700000001</c:v>
                </c:pt>
                <c:pt idx="59">
                  <c:v>34.029887000000009</c:v>
                </c:pt>
                <c:pt idx="60">
                  <c:v>34.060064000000011</c:v>
                </c:pt>
                <c:pt idx="61">
                  <c:v>34.082902000000011</c:v>
                </c:pt>
                <c:pt idx="62">
                  <c:v>34.100759000000011</c:v>
                </c:pt>
                <c:pt idx="63">
                  <c:v>34.114185000000013</c:v>
                </c:pt>
                <c:pt idx="64">
                  <c:v>34.12436000000001</c:v>
                </c:pt>
                <c:pt idx="65">
                  <c:v>34.131971000000007</c:v>
                </c:pt>
                <c:pt idx="66">
                  <c:v>34.137735000000006</c:v>
                </c:pt>
                <c:pt idx="67">
                  <c:v>34.141983000000003</c:v>
                </c:pt>
                <c:pt idx="68">
                  <c:v>34.145113000000002</c:v>
                </c:pt>
                <c:pt idx="69">
                  <c:v>34.147507000000004</c:v>
                </c:pt>
                <c:pt idx="70">
                  <c:v>34.149271000000006</c:v>
                </c:pt>
                <c:pt idx="71">
                  <c:v>34.150524000000004</c:v>
                </c:pt>
                <c:pt idx="72">
                  <c:v>34.151427000000005</c:v>
                </c:pt>
                <c:pt idx="73">
                  <c:v>34.152078000000003</c:v>
                </c:pt>
                <c:pt idx="74">
                  <c:v>34.152563000000001</c:v>
                </c:pt>
                <c:pt idx="75">
                  <c:v>34.152894000000003</c:v>
                </c:pt>
                <c:pt idx="76">
                  <c:v>34.153153000000003</c:v>
                </c:pt>
                <c:pt idx="77">
                  <c:v>34.153299000000004</c:v>
                </c:pt>
                <c:pt idx="78">
                  <c:v>34.153405000000006</c:v>
                </c:pt>
                <c:pt idx="79">
                  <c:v>34.153465000000004</c:v>
                </c:pt>
                <c:pt idx="80">
                  <c:v>34.153511000000002</c:v>
                </c:pt>
                <c:pt idx="81">
                  <c:v>34.153550000000003</c:v>
                </c:pt>
                <c:pt idx="82">
                  <c:v>34.153588000000006</c:v>
                </c:pt>
                <c:pt idx="83">
                  <c:v>34.153615000000009</c:v>
                </c:pt>
                <c:pt idx="84">
                  <c:v>34.153633000000006</c:v>
                </c:pt>
                <c:pt idx="85">
                  <c:v>34.15364300000001</c:v>
                </c:pt>
                <c:pt idx="86">
                  <c:v>34.153650000000006</c:v>
                </c:pt>
                <c:pt idx="87">
                  <c:v>34.153651000000004</c:v>
                </c:pt>
                <c:pt idx="88">
                  <c:v>34.153654000000003</c:v>
                </c:pt>
                <c:pt idx="89">
                  <c:v>34.153654000000003</c:v>
                </c:pt>
                <c:pt idx="90">
                  <c:v>34.153654000000003</c:v>
                </c:pt>
                <c:pt idx="91">
                  <c:v>34.153654000000003</c:v>
                </c:pt>
                <c:pt idx="92">
                  <c:v>34.153654000000003</c:v>
                </c:pt>
                <c:pt idx="93">
                  <c:v>34.153654000000003</c:v>
                </c:pt>
                <c:pt idx="94">
                  <c:v>34.153654000000003</c:v>
                </c:pt>
                <c:pt idx="95">
                  <c:v>34.153654000000003</c:v>
                </c:pt>
                <c:pt idx="96">
                  <c:v>34.153654000000003</c:v>
                </c:pt>
                <c:pt idx="97">
                  <c:v>34.153654000000003</c:v>
                </c:pt>
                <c:pt idx="98">
                  <c:v>34.153654000000003</c:v>
                </c:pt>
                <c:pt idx="99">
                  <c:v>34.153654000000003</c:v>
                </c:pt>
                <c:pt idx="100">
                  <c:v>34.153654000000003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247040"/>
        <c:axId val="102257408"/>
      </c:scatterChart>
      <c:valAx>
        <c:axId val="102247040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02257408"/>
        <c:crosses val="autoZero"/>
        <c:crossBetween val="midCat"/>
      </c:valAx>
      <c:valAx>
        <c:axId val="102257408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02247040"/>
        <c:crosses val="autoZero"/>
        <c:crossBetween val="midCat"/>
      </c:valAx>
      <c:spPr>
        <a:ln>
          <a:solidFill>
            <a:schemeClr val="bg1">
              <a:lumMod val="75000"/>
            </a:schemeClr>
          </a:solidFill>
        </a:ln>
      </c:spPr>
    </c:plotArea>
    <c:legend>
      <c:legendPos val="r"/>
      <c:overlay val="0"/>
    </c:legend>
    <c:plotVisOnly val="1"/>
    <c:dispBlanksAs val="gap"/>
    <c:showDLblsOverMax val="0"/>
  </c:char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A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D (kum.) (SBC)</c:v>
          </c:tx>
          <c:spPr>
            <a:ln w="254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SBC!$B$2:$B$102</c:f>
              <c:numCache>
                <c:formatCode>General</c:formatCode>
                <c:ptCount val="1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</c:numCache>
            </c:numRef>
          </c:xVal>
          <c:yVal>
            <c:numRef>
              <c:f>SBC!$P$2:$P$102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0.7</c:v>
                </c:pt>
                <c:pt idx="7">
                  <c:v>1.4</c:v>
                </c:pt>
                <c:pt idx="8">
                  <c:v>2.0999999999999996</c:v>
                </c:pt>
                <c:pt idx="9">
                  <c:v>2.8</c:v>
                </c:pt>
                <c:pt idx="10">
                  <c:v>3.5</c:v>
                </c:pt>
                <c:pt idx="11">
                  <c:v>4.2</c:v>
                </c:pt>
                <c:pt idx="12">
                  <c:v>4.9000000000000004</c:v>
                </c:pt>
                <c:pt idx="13">
                  <c:v>5.6000000000000005</c:v>
                </c:pt>
                <c:pt idx="14">
                  <c:v>6.3000000000000007</c:v>
                </c:pt>
                <c:pt idx="15">
                  <c:v>7.0000000000000009</c:v>
                </c:pt>
                <c:pt idx="16">
                  <c:v>7.7000000000000011</c:v>
                </c:pt>
                <c:pt idx="17">
                  <c:v>8.4</c:v>
                </c:pt>
                <c:pt idx="18">
                  <c:v>9.1</c:v>
                </c:pt>
                <c:pt idx="19">
                  <c:v>9.7999999999999989</c:v>
                </c:pt>
                <c:pt idx="20">
                  <c:v>10.499999999999998</c:v>
                </c:pt>
                <c:pt idx="21">
                  <c:v>11.199999999999998</c:v>
                </c:pt>
                <c:pt idx="22">
                  <c:v>11.899999999999997</c:v>
                </c:pt>
                <c:pt idx="23">
                  <c:v>12.599999999999996</c:v>
                </c:pt>
                <c:pt idx="24">
                  <c:v>13.299999999999995</c:v>
                </c:pt>
                <c:pt idx="25">
                  <c:v>13.999999999999995</c:v>
                </c:pt>
                <c:pt idx="26">
                  <c:v>14.699999999999994</c:v>
                </c:pt>
                <c:pt idx="27">
                  <c:v>15.399999999999993</c:v>
                </c:pt>
                <c:pt idx="28">
                  <c:v>16.099999999999994</c:v>
                </c:pt>
                <c:pt idx="29">
                  <c:v>16.799999999999994</c:v>
                </c:pt>
                <c:pt idx="30">
                  <c:v>17.499999999999993</c:v>
                </c:pt>
                <c:pt idx="31">
                  <c:v>18.699999999999992</c:v>
                </c:pt>
                <c:pt idx="32">
                  <c:v>19.899999999999991</c:v>
                </c:pt>
                <c:pt idx="33">
                  <c:v>21.099999999999991</c:v>
                </c:pt>
                <c:pt idx="34">
                  <c:v>22.29999999999999</c:v>
                </c:pt>
                <c:pt idx="35">
                  <c:v>23.499999999999989</c:v>
                </c:pt>
                <c:pt idx="36">
                  <c:v>24.199999999999989</c:v>
                </c:pt>
                <c:pt idx="37">
                  <c:v>24.899999999999988</c:v>
                </c:pt>
                <c:pt idx="38">
                  <c:v>25.599999999999987</c:v>
                </c:pt>
                <c:pt idx="39">
                  <c:v>26.299999999999986</c:v>
                </c:pt>
                <c:pt idx="40">
                  <c:v>26.999999999999986</c:v>
                </c:pt>
                <c:pt idx="41">
                  <c:v>27.699999999999985</c:v>
                </c:pt>
                <c:pt idx="42">
                  <c:v>28.399999999999984</c:v>
                </c:pt>
                <c:pt idx="43">
                  <c:v>29.099999999999984</c:v>
                </c:pt>
                <c:pt idx="44">
                  <c:v>29.799999999999983</c:v>
                </c:pt>
                <c:pt idx="45">
                  <c:v>30.499999999999982</c:v>
                </c:pt>
                <c:pt idx="46">
                  <c:v>31.199999999999982</c:v>
                </c:pt>
                <c:pt idx="47">
                  <c:v>31.899999999999981</c:v>
                </c:pt>
                <c:pt idx="48">
                  <c:v>32.59999999999998</c:v>
                </c:pt>
                <c:pt idx="49">
                  <c:v>33.299999999999983</c:v>
                </c:pt>
                <c:pt idx="50">
                  <c:v>33.999999999999986</c:v>
                </c:pt>
                <c:pt idx="51">
                  <c:v>33.999999999999986</c:v>
                </c:pt>
                <c:pt idx="52">
                  <c:v>33.999999999999986</c:v>
                </c:pt>
                <c:pt idx="53">
                  <c:v>33.999999999999986</c:v>
                </c:pt>
                <c:pt idx="54">
                  <c:v>33.999999999999986</c:v>
                </c:pt>
                <c:pt idx="55">
                  <c:v>33.999999999999986</c:v>
                </c:pt>
                <c:pt idx="56">
                  <c:v>33.999999999999986</c:v>
                </c:pt>
                <c:pt idx="57">
                  <c:v>33.999999999999986</c:v>
                </c:pt>
                <c:pt idx="58">
                  <c:v>33.999999999999986</c:v>
                </c:pt>
                <c:pt idx="59">
                  <c:v>33.999999999999986</c:v>
                </c:pt>
                <c:pt idx="60">
                  <c:v>33.999999999999986</c:v>
                </c:pt>
                <c:pt idx="61">
                  <c:v>33.999999999999986</c:v>
                </c:pt>
                <c:pt idx="62">
                  <c:v>33.999999999999986</c:v>
                </c:pt>
                <c:pt idx="63">
                  <c:v>33.999999999999986</c:v>
                </c:pt>
                <c:pt idx="64">
                  <c:v>33.999999999999986</c:v>
                </c:pt>
                <c:pt idx="65">
                  <c:v>33.999999999999986</c:v>
                </c:pt>
                <c:pt idx="66">
                  <c:v>33.999999999999986</c:v>
                </c:pt>
                <c:pt idx="67">
                  <c:v>33.999999999999986</c:v>
                </c:pt>
                <c:pt idx="68">
                  <c:v>33.999999999999986</c:v>
                </c:pt>
                <c:pt idx="69">
                  <c:v>33.999999999999986</c:v>
                </c:pt>
                <c:pt idx="70">
                  <c:v>33.999999999999986</c:v>
                </c:pt>
                <c:pt idx="71">
                  <c:v>33.999999999999986</c:v>
                </c:pt>
                <c:pt idx="72">
                  <c:v>33.999999999999986</c:v>
                </c:pt>
                <c:pt idx="73">
                  <c:v>33.999999999999986</c:v>
                </c:pt>
                <c:pt idx="74">
                  <c:v>33.999999999999986</c:v>
                </c:pt>
                <c:pt idx="75">
                  <c:v>33.999999999999986</c:v>
                </c:pt>
                <c:pt idx="76">
                  <c:v>33.999999999999986</c:v>
                </c:pt>
                <c:pt idx="77">
                  <c:v>33.999999999999986</c:v>
                </c:pt>
                <c:pt idx="78">
                  <c:v>33.999999999999986</c:v>
                </c:pt>
                <c:pt idx="79">
                  <c:v>33.999999999999986</c:v>
                </c:pt>
                <c:pt idx="80">
                  <c:v>33.999999999999986</c:v>
                </c:pt>
                <c:pt idx="81">
                  <c:v>33.999999999999986</c:v>
                </c:pt>
                <c:pt idx="82">
                  <c:v>33.999999999999986</c:v>
                </c:pt>
                <c:pt idx="83">
                  <c:v>33.999999999999986</c:v>
                </c:pt>
                <c:pt idx="84">
                  <c:v>33.999999999999986</c:v>
                </c:pt>
                <c:pt idx="85">
                  <c:v>33.999999999999986</c:v>
                </c:pt>
                <c:pt idx="86">
                  <c:v>33.999999999999986</c:v>
                </c:pt>
                <c:pt idx="87">
                  <c:v>33.999999999999986</c:v>
                </c:pt>
                <c:pt idx="88">
                  <c:v>33.999999999999986</c:v>
                </c:pt>
                <c:pt idx="89">
                  <c:v>33.999999999999986</c:v>
                </c:pt>
                <c:pt idx="90">
                  <c:v>33.999999999999986</c:v>
                </c:pt>
                <c:pt idx="91">
                  <c:v>33.999999999999986</c:v>
                </c:pt>
                <c:pt idx="92">
                  <c:v>33.999999999999986</c:v>
                </c:pt>
                <c:pt idx="93">
                  <c:v>33.999999999999986</c:v>
                </c:pt>
                <c:pt idx="94">
                  <c:v>33.999999999999986</c:v>
                </c:pt>
                <c:pt idx="95">
                  <c:v>33.999999999999986</c:v>
                </c:pt>
                <c:pt idx="96">
                  <c:v>33.999999999999986</c:v>
                </c:pt>
                <c:pt idx="97">
                  <c:v>33.999999999999986</c:v>
                </c:pt>
                <c:pt idx="98">
                  <c:v>33.999999999999986</c:v>
                </c:pt>
                <c:pt idx="99">
                  <c:v>33.999999999999986</c:v>
                </c:pt>
                <c:pt idx="100">
                  <c:v>33.999999999999986</c:v>
                </c:pt>
              </c:numCache>
            </c:numRef>
          </c:yVal>
          <c:smooth val="1"/>
        </c:ser>
        <c:ser>
          <c:idx val="2"/>
          <c:order val="1"/>
          <c:tx>
            <c:v>D (kum.) (Sim)</c:v>
          </c:tx>
          <c:spPr>
            <a:ln w="25400">
              <a:solidFill>
                <a:schemeClr val="accent6">
                  <a:lumMod val="75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Simulation!$C$2:$C$102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Simulation!$AI$2:$AI$102</c:f>
              <c:numCache>
                <c:formatCode>General</c:formatCode>
                <c:ptCount val="10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0.7</c:v>
                </c:pt>
                <c:pt idx="8">
                  <c:v>1.4</c:v>
                </c:pt>
                <c:pt idx="9">
                  <c:v>2.0999999999999996</c:v>
                </c:pt>
                <c:pt idx="10">
                  <c:v>2.8</c:v>
                </c:pt>
                <c:pt idx="11">
                  <c:v>3.5</c:v>
                </c:pt>
                <c:pt idx="12">
                  <c:v>4.2</c:v>
                </c:pt>
                <c:pt idx="13">
                  <c:v>4.9000000000000004</c:v>
                </c:pt>
                <c:pt idx="14">
                  <c:v>5.6000000000000005</c:v>
                </c:pt>
                <c:pt idx="15">
                  <c:v>6.3000000000000007</c:v>
                </c:pt>
                <c:pt idx="16">
                  <c:v>7.0000000000000009</c:v>
                </c:pt>
                <c:pt idx="17">
                  <c:v>7.7000000000000011</c:v>
                </c:pt>
                <c:pt idx="18">
                  <c:v>8.4</c:v>
                </c:pt>
                <c:pt idx="19">
                  <c:v>9.1</c:v>
                </c:pt>
                <c:pt idx="20">
                  <c:v>9.7999999999999989</c:v>
                </c:pt>
                <c:pt idx="21">
                  <c:v>10.499999999999998</c:v>
                </c:pt>
                <c:pt idx="22">
                  <c:v>11.199999999999998</c:v>
                </c:pt>
                <c:pt idx="23">
                  <c:v>11.899999999999997</c:v>
                </c:pt>
                <c:pt idx="24">
                  <c:v>12.599999999999996</c:v>
                </c:pt>
                <c:pt idx="25">
                  <c:v>13.299999999999995</c:v>
                </c:pt>
                <c:pt idx="26">
                  <c:v>13.999999999999995</c:v>
                </c:pt>
                <c:pt idx="27">
                  <c:v>14.699999999999994</c:v>
                </c:pt>
                <c:pt idx="28">
                  <c:v>15.399999999999993</c:v>
                </c:pt>
                <c:pt idx="29">
                  <c:v>16.099999999999994</c:v>
                </c:pt>
                <c:pt idx="30">
                  <c:v>16.799999999999994</c:v>
                </c:pt>
                <c:pt idx="31">
                  <c:v>17.499999999999993</c:v>
                </c:pt>
                <c:pt idx="32">
                  <c:v>18.699999999999992</c:v>
                </c:pt>
                <c:pt idx="33">
                  <c:v>19.899999999999991</c:v>
                </c:pt>
                <c:pt idx="34">
                  <c:v>21.099999999999991</c:v>
                </c:pt>
                <c:pt idx="35">
                  <c:v>22.29999999999999</c:v>
                </c:pt>
                <c:pt idx="36">
                  <c:v>23.499999999999989</c:v>
                </c:pt>
                <c:pt idx="37">
                  <c:v>24.199999999999989</c:v>
                </c:pt>
                <c:pt idx="38">
                  <c:v>24.899999999999988</c:v>
                </c:pt>
                <c:pt idx="39">
                  <c:v>25.599999999999987</c:v>
                </c:pt>
                <c:pt idx="40">
                  <c:v>26.299999999999986</c:v>
                </c:pt>
                <c:pt idx="41">
                  <c:v>26.999999999999986</c:v>
                </c:pt>
                <c:pt idx="42">
                  <c:v>27.699999999999985</c:v>
                </c:pt>
                <c:pt idx="43">
                  <c:v>28.399999999999984</c:v>
                </c:pt>
                <c:pt idx="44">
                  <c:v>29.099999999999984</c:v>
                </c:pt>
                <c:pt idx="45">
                  <c:v>29.799999999999983</c:v>
                </c:pt>
                <c:pt idx="46">
                  <c:v>30.499999999999982</c:v>
                </c:pt>
                <c:pt idx="47">
                  <c:v>31.199999999999982</c:v>
                </c:pt>
                <c:pt idx="48">
                  <c:v>31.899999999999981</c:v>
                </c:pt>
                <c:pt idx="49">
                  <c:v>32.59999999999998</c:v>
                </c:pt>
                <c:pt idx="50">
                  <c:v>33.299999999999983</c:v>
                </c:pt>
                <c:pt idx="51">
                  <c:v>33.999999999999986</c:v>
                </c:pt>
                <c:pt idx="52">
                  <c:v>33.999999999999986</c:v>
                </c:pt>
                <c:pt idx="53">
                  <c:v>33.999999999999986</c:v>
                </c:pt>
                <c:pt idx="54">
                  <c:v>33.999999999999986</c:v>
                </c:pt>
                <c:pt idx="55">
                  <c:v>33.999999999999986</c:v>
                </c:pt>
                <c:pt idx="56">
                  <c:v>33.999999999999986</c:v>
                </c:pt>
                <c:pt idx="57">
                  <c:v>33.999999999999986</c:v>
                </c:pt>
                <c:pt idx="58">
                  <c:v>33.999999999999986</c:v>
                </c:pt>
                <c:pt idx="59">
                  <c:v>33.999999999999986</c:v>
                </c:pt>
                <c:pt idx="60">
                  <c:v>33.999999999999986</c:v>
                </c:pt>
                <c:pt idx="61">
                  <c:v>33.999999999999986</c:v>
                </c:pt>
                <c:pt idx="62">
                  <c:v>33.999999999999986</c:v>
                </c:pt>
                <c:pt idx="63">
                  <c:v>33.999999999999986</c:v>
                </c:pt>
                <c:pt idx="64">
                  <c:v>33.999999999999986</c:v>
                </c:pt>
                <c:pt idx="65">
                  <c:v>33.999999999999986</c:v>
                </c:pt>
                <c:pt idx="66">
                  <c:v>33.999999999999986</c:v>
                </c:pt>
                <c:pt idx="67">
                  <c:v>33.999999999999986</c:v>
                </c:pt>
                <c:pt idx="68">
                  <c:v>33.999999999999986</c:v>
                </c:pt>
                <c:pt idx="69">
                  <c:v>33.999999999999986</c:v>
                </c:pt>
                <c:pt idx="70">
                  <c:v>33.999999999999986</c:v>
                </c:pt>
                <c:pt idx="71">
                  <c:v>33.999999999999986</c:v>
                </c:pt>
                <c:pt idx="72">
                  <c:v>33.999999999999986</c:v>
                </c:pt>
                <c:pt idx="73">
                  <c:v>33.999999999999986</c:v>
                </c:pt>
                <c:pt idx="74">
                  <c:v>33.999999999999986</c:v>
                </c:pt>
                <c:pt idx="75">
                  <c:v>33.999999999999986</c:v>
                </c:pt>
                <c:pt idx="76">
                  <c:v>33.999999999999986</c:v>
                </c:pt>
                <c:pt idx="77">
                  <c:v>33.999999999999986</c:v>
                </c:pt>
                <c:pt idx="78">
                  <c:v>33.999999999999986</c:v>
                </c:pt>
                <c:pt idx="79">
                  <c:v>33.999999999999986</c:v>
                </c:pt>
                <c:pt idx="80">
                  <c:v>33.999999999999986</c:v>
                </c:pt>
                <c:pt idx="81">
                  <c:v>33.999999999999986</c:v>
                </c:pt>
                <c:pt idx="82">
                  <c:v>33.999999999999986</c:v>
                </c:pt>
                <c:pt idx="83">
                  <c:v>33.999999999999986</c:v>
                </c:pt>
                <c:pt idx="84">
                  <c:v>33.999999999999986</c:v>
                </c:pt>
                <c:pt idx="85">
                  <c:v>33.999999999999986</c:v>
                </c:pt>
                <c:pt idx="86">
                  <c:v>33.999999999999986</c:v>
                </c:pt>
                <c:pt idx="87">
                  <c:v>33.999999999999986</c:v>
                </c:pt>
                <c:pt idx="88">
                  <c:v>33.999999999999986</c:v>
                </c:pt>
                <c:pt idx="89">
                  <c:v>33.999999999999986</c:v>
                </c:pt>
                <c:pt idx="90">
                  <c:v>33.999999999999986</c:v>
                </c:pt>
                <c:pt idx="91">
                  <c:v>33.999999999999986</c:v>
                </c:pt>
                <c:pt idx="92">
                  <c:v>33.999999999999986</c:v>
                </c:pt>
                <c:pt idx="93">
                  <c:v>33.999999999999986</c:v>
                </c:pt>
                <c:pt idx="94">
                  <c:v>33.999999999999986</c:v>
                </c:pt>
                <c:pt idx="95">
                  <c:v>33.999999999999986</c:v>
                </c:pt>
                <c:pt idx="96">
                  <c:v>33.999999999999986</c:v>
                </c:pt>
                <c:pt idx="97">
                  <c:v>33.999999999999986</c:v>
                </c:pt>
                <c:pt idx="98">
                  <c:v>33.999999999999986</c:v>
                </c:pt>
                <c:pt idx="99">
                  <c:v>33.999999999999986</c:v>
                </c:pt>
                <c:pt idx="100">
                  <c:v>33.999999999999986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332288"/>
        <c:axId val="102346752"/>
      </c:scatterChart>
      <c:valAx>
        <c:axId val="102332288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02346752"/>
        <c:crosses val="autoZero"/>
        <c:crossBetween val="midCat"/>
      </c:valAx>
      <c:valAx>
        <c:axId val="102346752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02332288"/>
        <c:crosses val="autoZero"/>
        <c:crossBetween val="midCat"/>
      </c:valAx>
      <c:spPr>
        <a:ln>
          <a:solidFill>
            <a:schemeClr val="bg1">
              <a:lumMod val="75000"/>
            </a:schemeClr>
          </a:solidFill>
        </a:ln>
      </c:spPr>
    </c:plotArea>
    <c:legend>
      <c:legendPos val="r"/>
      <c:overlay val="0"/>
    </c:legend>
    <c:plotVisOnly val="1"/>
    <c:dispBlanksAs val="gap"/>
    <c:showDLblsOverMax val="0"/>
  </c:char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A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3"/>
          <c:order val="0"/>
          <c:tx>
            <c:v>I (SBC)</c:v>
          </c:tx>
          <c:spPr>
            <a:ln w="25400">
              <a:solidFill>
                <a:schemeClr val="accent4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SBC!$B$2:$B$102</c:f>
              <c:numCache>
                <c:formatCode>General</c:formatCode>
                <c:ptCount val="1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</c:numCache>
            </c:numRef>
          </c:xVal>
          <c:yVal>
            <c:numRef>
              <c:f>SBC!$J$2:$J$102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0.27</c:v>
                </c:pt>
                <c:pt idx="5">
                  <c:v>0.7</c:v>
                </c:pt>
                <c:pt idx="6">
                  <c:v>0.53</c:v>
                </c:pt>
                <c:pt idx="7">
                  <c:v>0.4</c:v>
                </c:pt>
                <c:pt idx="8">
                  <c:v>0.32</c:v>
                </c:pt>
                <c:pt idx="9">
                  <c:v>0.27</c:v>
                </c:pt>
                <c:pt idx="10">
                  <c:v>0.25</c:v>
                </c:pt>
                <c:pt idx="11">
                  <c:v>0.24</c:v>
                </c:pt>
                <c:pt idx="12">
                  <c:v>0.25</c:v>
                </c:pt>
                <c:pt idx="13">
                  <c:v>0.27</c:v>
                </c:pt>
                <c:pt idx="14">
                  <c:v>0.31</c:v>
                </c:pt>
                <c:pt idx="15">
                  <c:v>0.36</c:v>
                </c:pt>
                <c:pt idx="16">
                  <c:v>0.41</c:v>
                </c:pt>
                <c:pt idx="17">
                  <c:v>0.48</c:v>
                </c:pt>
                <c:pt idx="18">
                  <c:v>0.55000000000000004</c:v>
                </c:pt>
                <c:pt idx="19">
                  <c:v>0.63</c:v>
                </c:pt>
                <c:pt idx="20">
                  <c:v>0.72</c:v>
                </c:pt>
                <c:pt idx="21">
                  <c:v>0.81</c:v>
                </c:pt>
                <c:pt idx="22">
                  <c:v>0.91</c:v>
                </c:pt>
                <c:pt idx="23">
                  <c:v>1.01</c:v>
                </c:pt>
                <c:pt idx="24">
                  <c:v>1.1200000000000001</c:v>
                </c:pt>
                <c:pt idx="25">
                  <c:v>1.23</c:v>
                </c:pt>
                <c:pt idx="26">
                  <c:v>1.34</c:v>
                </c:pt>
                <c:pt idx="27">
                  <c:v>1.46</c:v>
                </c:pt>
                <c:pt idx="28">
                  <c:v>1.58</c:v>
                </c:pt>
                <c:pt idx="29">
                  <c:v>1.71</c:v>
                </c:pt>
                <c:pt idx="30">
                  <c:v>1.84</c:v>
                </c:pt>
                <c:pt idx="31">
                  <c:v>1.47</c:v>
                </c:pt>
                <c:pt idx="32">
                  <c:v>1.1100000000000001</c:v>
                </c:pt>
                <c:pt idx="33">
                  <c:v>0.75</c:v>
                </c:pt>
                <c:pt idx="34">
                  <c:v>0.39</c:v>
                </c:pt>
                <c:pt idx="35">
                  <c:v>0</c:v>
                </c:pt>
                <c:pt idx="36">
                  <c:v>0.08</c:v>
                </c:pt>
                <c:pt idx="37">
                  <c:v>0.12</c:v>
                </c:pt>
                <c:pt idx="38">
                  <c:v>0.16</c:v>
                </c:pt>
                <c:pt idx="39">
                  <c:v>0.21</c:v>
                </c:pt>
                <c:pt idx="40">
                  <c:v>0.27</c:v>
                </c:pt>
                <c:pt idx="41">
                  <c:v>0.34</c:v>
                </c:pt>
                <c:pt idx="42">
                  <c:v>0.42</c:v>
                </c:pt>
                <c:pt idx="43">
                  <c:v>0.5</c:v>
                </c:pt>
                <c:pt idx="44">
                  <c:v>0.59</c:v>
                </c:pt>
                <c:pt idx="45">
                  <c:v>0.68</c:v>
                </c:pt>
                <c:pt idx="46">
                  <c:v>0.73</c:v>
                </c:pt>
                <c:pt idx="47">
                  <c:v>0.72</c:v>
                </c:pt>
                <c:pt idx="48">
                  <c:v>0.62</c:v>
                </c:pt>
                <c:pt idx="49">
                  <c:v>0.4</c:v>
                </c:pt>
                <c:pt idx="50">
                  <c:v>0</c:v>
                </c:pt>
                <c:pt idx="51">
                  <c:v>0.12</c:v>
                </c:pt>
                <c:pt idx="52">
                  <c:v>0.13</c:v>
                </c:pt>
                <c:pt idx="53">
                  <c:v>0.13</c:v>
                </c:pt>
                <c:pt idx="54">
                  <c:v>0.13</c:v>
                </c:pt>
                <c:pt idx="55">
                  <c:v>0.13</c:v>
                </c:pt>
                <c:pt idx="56">
                  <c:v>0.13</c:v>
                </c:pt>
                <c:pt idx="57">
                  <c:v>0.13</c:v>
                </c:pt>
                <c:pt idx="58">
                  <c:v>0.13</c:v>
                </c:pt>
                <c:pt idx="59">
                  <c:v>0.13</c:v>
                </c:pt>
                <c:pt idx="60">
                  <c:v>0.13</c:v>
                </c:pt>
                <c:pt idx="61">
                  <c:v>0.13</c:v>
                </c:pt>
                <c:pt idx="62">
                  <c:v>0.13</c:v>
                </c:pt>
                <c:pt idx="63">
                  <c:v>0.13</c:v>
                </c:pt>
                <c:pt idx="64">
                  <c:v>0.13</c:v>
                </c:pt>
                <c:pt idx="65">
                  <c:v>0.13</c:v>
                </c:pt>
                <c:pt idx="66">
                  <c:v>0.13</c:v>
                </c:pt>
                <c:pt idx="67">
                  <c:v>0.13</c:v>
                </c:pt>
                <c:pt idx="68">
                  <c:v>0.13</c:v>
                </c:pt>
                <c:pt idx="69">
                  <c:v>0.13</c:v>
                </c:pt>
                <c:pt idx="70">
                  <c:v>0.13</c:v>
                </c:pt>
                <c:pt idx="71">
                  <c:v>0.13</c:v>
                </c:pt>
                <c:pt idx="72">
                  <c:v>0.13</c:v>
                </c:pt>
                <c:pt idx="73">
                  <c:v>0.13</c:v>
                </c:pt>
                <c:pt idx="74">
                  <c:v>0.13</c:v>
                </c:pt>
                <c:pt idx="75">
                  <c:v>0.13</c:v>
                </c:pt>
                <c:pt idx="76">
                  <c:v>0.13</c:v>
                </c:pt>
                <c:pt idx="77">
                  <c:v>0.13</c:v>
                </c:pt>
                <c:pt idx="78">
                  <c:v>0.13</c:v>
                </c:pt>
                <c:pt idx="79">
                  <c:v>0.13</c:v>
                </c:pt>
                <c:pt idx="80">
                  <c:v>0.13</c:v>
                </c:pt>
                <c:pt idx="81">
                  <c:v>0.13</c:v>
                </c:pt>
                <c:pt idx="82">
                  <c:v>0.13</c:v>
                </c:pt>
                <c:pt idx="83">
                  <c:v>0.13</c:v>
                </c:pt>
                <c:pt idx="84">
                  <c:v>0.13</c:v>
                </c:pt>
                <c:pt idx="85">
                  <c:v>0.13</c:v>
                </c:pt>
                <c:pt idx="86">
                  <c:v>0.13</c:v>
                </c:pt>
                <c:pt idx="87">
                  <c:v>0.13</c:v>
                </c:pt>
                <c:pt idx="88">
                  <c:v>0.13</c:v>
                </c:pt>
                <c:pt idx="89">
                  <c:v>0.13</c:v>
                </c:pt>
                <c:pt idx="90">
                  <c:v>0.13</c:v>
                </c:pt>
                <c:pt idx="91">
                  <c:v>0.13</c:v>
                </c:pt>
                <c:pt idx="92">
                  <c:v>0.13</c:v>
                </c:pt>
                <c:pt idx="93">
                  <c:v>0.13</c:v>
                </c:pt>
                <c:pt idx="94">
                  <c:v>0.13</c:v>
                </c:pt>
                <c:pt idx="95">
                  <c:v>0.13</c:v>
                </c:pt>
                <c:pt idx="96">
                  <c:v>0.13</c:v>
                </c:pt>
                <c:pt idx="97">
                  <c:v>0.13</c:v>
                </c:pt>
                <c:pt idx="98">
                  <c:v>0.13</c:v>
                </c:pt>
                <c:pt idx="99">
                  <c:v>0.13</c:v>
                </c:pt>
                <c:pt idx="100">
                  <c:v>0.13</c:v>
                </c:pt>
              </c:numCache>
            </c:numRef>
          </c:yVal>
          <c:smooth val="1"/>
        </c:ser>
        <c:ser>
          <c:idx val="1"/>
          <c:order val="1"/>
          <c:tx>
            <c:v>I (Sim)</c:v>
          </c:tx>
          <c:spPr>
            <a:ln w="25400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Simulation!$C$2:$C$102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Simulation!$AL$2:$AL$102</c:f>
              <c:numCache>
                <c:formatCode>General</c:formatCode>
                <c:ptCount val="10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0.12686</c:v>
                </c:pt>
                <c:pt idx="6">
                  <c:v>0.45801199999999997</c:v>
                </c:pt>
                <c:pt idx="7">
                  <c:v>0.23250799999999994</c:v>
                </c:pt>
                <c:pt idx="8">
                  <c:v>8.9907999999999877E-2</c:v>
                </c:pt>
                <c:pt idx="9">
                  <c:v>2.7829999999999799E-3</c:v>
                </c:pt>
                <c:pt idx="10">
                  <c:v>-4.6992000000000367E-2</c:v>
                </c:pt>
                <c:pt idx="11">
                  <c:v>-6.6952000000000567E-2</c:v>
                </c:pt>
                <c:pt idx="12">
                  <c:v>-6.5956000000000792E-2</c:v>
                </c:pt>
                <c:pt idx="13">
                  <c:v>-4.4767000000001111E-2</c:v>
                </c:pt>
                <c:pt idx="14">
                  <c:v>-6.898000000001403E-3</c:v>
                </c:pt>
                <c:pt idx="15">
                  <c:v>4.4495999999998759E-2</c:v>
                </c:pt>
                <c:pt idx="16">
                  <c:v>0.10489399999999893</c:v>
                </c:pt>
                <c:pt idx="17">
                  <c:v>0.17698399999999914</c:v>
                </c:pt>
                <c:pt idx="18">
                  <c:v>0.25791899999999934</c:v>
                </c:pt>
                <c:pt idx="19">
                  <c:v>0.34515799999999963</c:v>
                </c:pt>
                <c:pt idx="20">
                  <c:v>0.43936099999999989</c:v>
                </c:pt>
                <c:pt idx="21">
                  <c:v>0.54229800000000061</c:v>
                </c:pt>
                <c:pt idx="22">
                  <c:v>0.65179800000000121</c:v>
                </c:pt>
                <c:pt idx="23">
                  <c:v>0.76580400000000104</c:v>
                </c:pt>
                <c:pt idx="24">
                  <c:v>0.88375800000000204</c:v>
                </c:pt>
                <c:pt idx="25">
                  <c:v>1.0068040000000025</c:v>
                </c:pt>
                <c:pt idx="26">
                  <c:v>1.1350310000000032</c:v>
                </c:pt>
                <c:pt idx="27">
                  <c:v>1.2676160000000039</c:v>
                </c:pt>
                <c:pt idx="28">
                  <c:v>1.4009880000000035</c:v>
                </c:pt>
                <c:pt idx="29">
                  <c:v>1.5398050000000012</c:v>
                </c:pt>
                <c:pt idx="30">
                  <c:v>1.6833770000000037</c:v>
                </c:pt>
                <c:pt idx="31">
                  <c:v>1.8270250000000061</c:v>
                </c:pt>
                <c:pt idx="32">
                  <c:v>1.4720990000000072</c:v>
                </c:pt>
                <c:pt idx="33">
                  <c:v>1.1215970000000084</c:v>
                </c:pt>
                <c:pt idx="34">
                  <c:v>0.77273200000000841</c:v>
                </c:pt>
                <c:pt idx="35">
                  <c:v>0.4260980000000103</c:v>
                </c:pt>
                <c:pt idx="36">
                  <c:v>1.3425000000012233E-2</c:v>
                </c:pt>
                <c:pt idx="37">
                  <c:v>-2.0663999999985805E-2</c:v>
                </c:pt>
                <c:pt idx="38">
                  <c:v>-0.15989899999998514</c:v>
                </c:pt>
                <c:pt idx="39">
                  <c:v>-0.25214299999998602</c:v>
                </c:pt>
                <c:pt idx="40">
                  <c:v>-0.25041399999998504</c:v>
                </c:pt>
                <c:pt idx="41">
                  <c:v>-0.20899299999998533</c:v>
                </c:pt>
                <c:pt idx="42">
                  <c:v>-0.14403599999998562</c:v>
                </c:pt>
                <c:pt idx="43">
                  <c:v>-6.1990999999984808E-2</c:v>
                </c:pt>
                <c:pt idx="44">
                  <c:v>3.0602000000016005E-2</c:v>
                </c:pt>
                <c:pt idx="45">
                  <c:v>0.13248200000001731</c:v>
                </c:pt>
                <c:pt idx="46">
                  <c:v>0.23132800000001907</c:v>
                </c:pt>
                <c:pt idx="47">
                  <c:v>0.24577300000002111</c:v>
                </c:pt>
                <c:pt idx="48">
                  <c:v>0.12221500000002194</c:v>
                </c:pt>
                <c:pt idx="49">
                  <c:v>-0.11889999999997514</c:v>
                </c:pt>
                <c:pt idx="50">
                  <c:v>-0.45392999999997841</c:v>
                </c:pt>
                <c:pt idx="51">
                  <c:v>-0.86499299999998414</c:v>
                </c:pt>
                <c:pt idx="52">
                  <c:v>-0.63750199999998358</c:v>
                </c:pt>
                <c:pt idx="53">
                  <c:v>-0.4593749999999801</c:v>
                </c:pt>
                <c:pt idx="54">
                  <c:v>-0.3197969999999799</c:v>
                </c:pt>
                <c:pt idx="55">
                  <c:v>-0.21077299999998189</c:v>
                </c:pt>
                <c:pt idx="56">
                  <c:v>-0.12619799999998094</c:v>
                </c:pt>
                <c:pt idx="57">
                  <c:v>-5.9986999999978252E-2</c:v>
                </c:pt>
                <c:pt idx="58">
                  <c:v>-9.2629999999758184E-3</c:v>
                </c:pt>
                <c:pt idx="59">
                  <c:v>2.9887000000023534E-2</c:v>
                </c:pt>
                <c:pt idx="60">
                  <c:v>6.006400000002543E-2</c:v>
                </c:pt>
                <c:pt idx="61">
                  <c:v>8.2902000000025566E-2</c:v>
                </c:pt>
                <c:pt idx="62">
                  <c:v>0.10075900000002491</c:v>
                </c:pt>
                <c:pt idx="63">
                  <c:v>0.11418500000002751</c:v>
                </c:pt>
                <c:pt idx="64">
                  <c:v>0.12436000000002423</c:v>
                </c:pt>
                <c:pt idx="65">
                  <c:v>0.13197100000002138</c:v>
                </c:pt>
                <c:pt idx="66">
                  <c:v>0.13773500000002059</c:v>
                </c:pt>
                <c:pt idx="67">
                  <c:v>0.14198300000001751</c:v>
                </c:pt>
                <c:pt idx="68">
                  <c:v>0.14511300000001626</c:v>
                </c:pt>
                <c:pt idx="69">
                  <c:v>0.14750700000001871</c:v>
                </c:pt>
                <c:pt idx="70">
                  <c:v>0.14927100000002014</c:v>
                </c:pt>
                <c:pt idx="71">
                  <c:v>0.15052400000001853</c:v>
                </c:pt>
                <c:pt idx="72">
                  <c:v>0.15142700000001952</c:v>
                </c:pt>
                <c:pt idx="73">
                  <c:v>0.15207800000001725</c:v>
                </c:pt>
                <c:pt idx="74">
                  <c:v>0.15256300000001488</c:v>
                </c:pt>
                <c:pt idx="75">
                  <c:v>0.15289400000001763</c:v>
                </c:pt>
                <c:pt idx="76">
                  <c:v>0.15315300000001741</c:v>
                </c:pt>
                <c:pt idx="77">
                  <c:v>0.15329900000001828</c:v>
                </c:pt>
                <c:pt idx="78">
                  <c:v>0.15340500000002066</c:v>
                </c:pt>
                <c:pt idx="79">
                  <c:v>0.15346500000001839</c:v>
                </c:pt>
                <c:pt idx="80">
                  <c:v>0.15351100000001594</c:v>
                </c:pt>
                <c:pt idx="81">
                  <c:v>0.15355000000001695</c:v>
                </c:pt>
                <c:pt idx="82">
                  <c:v>0.15358800000002049</c:v>
                </c:pt>
                <c:pt idx="83">
                  <c:v>0.15361500000002337</c:v>
                </c:pt>
                <c:pt idx="84">
                  <c:v>0.15363300000002056</c:v>
                </c:pt>
                <c:pt idx="85">
                  <c:v>0.15364300000002373</c:v>
                </c:pt>
                <c:pt idx="86">
                  <c:v>0.15365000000002027</c:v>
                </c:pt>
                <c:pt idx="87">
                  <c:v>0.15365100000001775</c:v>
                </c:pt>
                <c:pt idx="88">
                  <c:v>0.15365400000001728</c:v>
                </c:pt>
                <c:pt idx="89">
                  <c:v>0.15365400000001728</c:v>
                </c:pt>
                <c:pt idx="90">
                  <c:v>0.15365400000001728</c:v>
                </c:pt>
                <c:pt idx="91">
                  <c:v>0.15365400000001728</c:v>
                </c:pt>
                <c:pt idx="92">
                  <c:v>0.15365400000001728</c:v>
                </c:pt>
                <c:pt idx="93">
                  <c:v>0.15365400000001728</c:v>
                </c:pt>
                <c:pt idx="94">
                  <c:v>0.15365400000001728</c:v>
                </c:pt>
                <c:pt idx="95">
                  <c:v>0.15365400000001728</c:v>
                </c:pt>
                <c:pt idx="96">
                  <c:v>0.15365400000001728</c:v>
                </c:pt>
                <c:pt idx="97">
                  <c:v>0.15365400000001728</c:v>
                </c:pt>
                <c:pt idx="98">
                  <c:v>0.15365400000001728</c:v>
                </c:pt>
                <c:pt idx="99">
                  <c:v>0.15365400000001728</c:v>
                </c:pt>
                <c:pt idx="100">
                  <c:v>0.15365400000001728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429824"/>
        <c:axId val="102431744"/>
      </c:scatterChart>
      <c:valAx>
        <c:axId val="102429824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02431744"/>
        <c:crosses val="autoZero"/>
        <c:crossBetween val="midCat"/>
      </c:valAx>
      <c:valAx>
        <c:axId val="10243174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02429824"/>
        <c:crosses val="autoZero"/>
        <c:crossBetween val="midCat"/>
      </c:valAx>
      <c:spPr>
        <a:ln>
          <a:solidFill>
            <a:schemeClr val="bg1">
              <a:lumMod val="75000"/>
            </a:schemeClr>
          </a:solidFill>
        </a:ln>
      </c:spPr>
    </c:plotArea>
    <c:legend>
      <c:legendPos val="r"/>
      <c:overlay val="0"/>
    </c:legend>
    <c:plotVisOnly val="1"/>
    <c:dispBlanksAs val="gap"/>
    <c:showDLblsOverMax val="0"/>
  </c:char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A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3"/>
          <c:order val="0"/>
          <c:tx>
            <c:v>rho = X (SBC)</c:v>
          </c:tx>
          <c:spPr>
            <a:ln w="25400">
              <a:solidFill>
                <a:schemeClr val="bg2">
                  <a:lumMod val="25000"/>
                </a:schemeClr>
              </a:solidFill>
            </a:ln>
          </c:spPr>
          <c:marker>
            <c:symbol val="none"/>
          </c:marker>
          <c:xVal>
            <c:numRef>
              <c:f>SBC!$B$2:$B$102</c:f>
              <c:numCache>
                <c:formatCode>General</c:formatCode>
                <c:ptCount val="1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</c:numCache>
            </c:numRef>
          </c:xVal>
          <c:yVal>
            <c:numRef>
              <c:f>SBC!$K$2:$K$102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0.27</c:v>
                </c:pt>
                <c:pt idx="5">
                  <c:v>0.43</c:v>
                </c:pt>
                <c:pt idx="6">
                  <c:v>0.52</c:v>
                </c:pt>
                <c:pt idx="7">
                  <c:v>0.57999999999999996</c:v>
                </c:pt>
                <c:pt idx="8">
                  <c:v>0.62</c:v>
                </c:pt>
                <c:pt idx="9">
                  <c:v>0.65</c:v>
                </c:pt>
                <c:pt idx="10">
                  <c:v>0.67</c:v>
                </c:pt>
                <c:pt idx="11">
                  <c:v>0.69</c:v>
                </c:pt>
                <c:pt idx="12">
                  <c:v>0.71</c:v>
                </c:pt>
                <c:pt idx="13">
                  <c:v>0.72</c:v>
                </c:pt>
                <c:pt idx="14">
                  <c:v>0.74</c:v>
                </c:pt>
                <c:pt idx="15">
                  <c:v>0.75</c:v>
                </c:pt>
                <c:pt idx="16">
                  <c:v>0.76</c:v>
                </c:pt>
                <c:pt idx="17">
                  <c:v>0.77</c:v>
                </c:pt>
                <c:pt idx="18">
                  <c:v>0.77</c:v>
                </c:pt>
                <c:pt idx="19">
                  <c:v>0.78</c:v>
                </c:pt>
                <c:pt idx="20">
                  <c:v>0.79</c:v>
                </c:pt>
                <c:pt idx="21">
                  <c:v>0.79</c:v>
                </c:pt>
                <c:pt idx="22">
                  <c:v>0.8</c:v>
                </c:pt>
                <c:pt idx="23">
                  <c:v>0.8</c:v>
                </c:pt>
                <c:pt idx="24">
                  <c:v>0.81</c:v>
                </c:pt>
                <c:pt idx="25">
                  <c:v>0.81</c:v>
                </c:pt>
                <c:pt idx="26">
                  <c:v>0.82</c:v>
                </c:pt>
                <c:pt idx="27">
                  <c:v>0.82</c:v>
                </c:pt>
                <c:pt idx="28">
                  <c:v>0.82</c:v>
                </c:pt>
                <c:pt idx="29">
                  <c:v>0.83</c:v>
                </c:pt>
                <c:pt idx="30">
                  <c:v>0.83</c:v>
                </c:pt>
                <c:pt idx="31">
                  <c:v>0.83</c:v>
                </c:pt>
                <c:pt idx="32">
                  <c:v>0.84</c:v>
                </c:pt>
                <c:pt idx="33">
                  <c:v>0.84</c:v>
                </c:pt>
                <c:pt idx="34">
                  <c:v>0.84</c:v>
                </c:pt>
                <c:pt idx="35">
                  <c:v>0.81</c:v>
                </c:pt>
                <c:pt idx="36">
                  <c:v>0.78</c:v>
                </c:pt>
                <c:pt idx="37">
                  <c:v>0.74</c:v>
                </c:pt>
                <c:pt idx="38">
                  <c:v>0.74</c:v>
                </c:pt>
                <c:pt idx="39">
                  <c:v>0.75</c:v>
                </c:pt>
                <c:pt idx="40">
                  <c:v>0.76</c:v>
                </c:pt>
                <c:pt idx="41">
                  <c:v>0.77</c:v>
                </c:pt>
                <c:pt idx="42">
                  <c:v>0.78</c:v>
                </c:pt>
                <c:pt idx="43">
                  <c:v>0.78</c:v>
                </c:pt>
                <c:pt idx="44">
                  <c:v>0.79</c:v>
                </c:pt>
                <c:pt idx="45">
                  <c:v>0.79</c:v>
                </c:pt>
                <c:pt idx="46">
                  <c:v>0.75</c:v>
                </c:pt>
                <c:pt idx="47">
                  <c:v>0.69</c:v>
                </c:pt>
                <c:pt idx="48">
                  <c:v>0.6</c:v>
                </c:pt>
                <c:pt idx="49">
                  <c:v>0.48</c:v>
                </c:pt>
                <c:pt idx="50">
                  <c:v>0.3</c:v>
                </c:pt>
                <c:pt idx="51">
                  <c:v>0.12</c:v>
                </c:pt>
                <c:pt idx="52">
                  <c:v>0.02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rho (Sim)</c:v>
          </c:tx>
          <c:spPr>
            <a:ln w="25400">
              <a:solidFill>
                <a:schemeClr val="bg2">
                  <a:lumMod val="25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Simulation!$C$2:$C$102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Simulation!$P$2:$P$102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0.12580796583416601</c:v>
                </c:pt>
                <c:pt idx="6">
                  <c:v>0.33026952965108802</c:v>
                </c:pt>
                <c:pt idx="7">
                  <c:v>0.47510669810715001</c:v>
                </c:pt>
                <c:pt idx="8">
                  <c:v>0.55796523536533504</c:v>
                </c:pt>
                <c:pt idx="9">
                  <c:v>0.61235663597220202</c:v>
                </c:pt>
                <c:pt idx="10">
                  <c:v>0.65089143422120399</c:v>
                </c:pt>
                <c:pt idx="11">
                  <c:v>0.67952368398796403</c:v>
                </c:pt>
                <c:pt idx="12">
                  <c:v>0.70286346608037598</c:v>
                </c:pt>
                <c:pt idx="13">
                  <c:v>0.72162009358129497</c:v>
                </c:pt>
                <c:pt idx="14">
                  <c:v>0.73741785082518096</c:v>
                </c:pt>
                <c:pt idx="15">
                  <c:v>0.75027361592560904</c:v>
                </c:pt>
                <c:pt idx="16">
                  <c:v>0.76141743956262498</c:v>
                </c:pt>
                <c:pt idx="17">
                  <c:v>0.77141540396448904</c:v>
                </c:pt>
                <c:pt idx="18">
                  <c:v>0.78003942305738005</c:v>
                </c:pt>
                <c:pt idx="19">
                  <c:v>0.78838492248602599</c:v>
                </c:pt>
                <c:pt idx="20">
                  <c:v>0.79502136356350805</c:v>
                </c:pt>
                <c:pt idx="21">
                  <c:v>0.80238805308634698</c:v>
                </c:pt>
                <c:pt idx="22">
                  <c:v>0.80833582741003995</c:v>
                </c:pt>
                <c:pt idx="23">
                  <c:v>0.81375999964297896</c:v>
                </c:pt>
                <c:pt idx="24">
                  <c:v>0.81834609941583603</c:v>
                </c:pt>
                <c:pt idx="25">
                  <c:v>0.82258948851382696</c:v>
                </c:pt>
                <c:pt idx="26">
                  <c:v>0.82692165315331401</c:v>
                </c:pt>
                <c:pt idx="27">
                  <c:v>0.831492788047412</c:v>
                </c:pt>
                <c:pt idx="28">
                  <c:v>0.83454372188347303</c:v>
                </c:pt>
                <c:pt idx="29">
                  <c:v>0.83799742781793496</c:v>
                </c:pt>
                <c:pt idx="30">
                  <c:v>0.84061828377035896</c:v>
                </c:pt>
                <c:pt idx="31">
                  <c:v>0.84347018806866403</c:v>
                </c:pt>
                <c:pt idx="32">
                  <c:v>0.84668023772532397</c:v>
                </c:pt>
                <c:pt idx="33">
                  <c:v>0.84980049468114405</c:v>
                </c:pt>
                <c:pt idx="34">
                  <c:v>0.85318239056415601</c:v>
                </c:pt>
                <c:pt idx="35">
                  <c:v>0.85294316738492104</c:v>
                </c:pt>
                <c:pt idx="36">
                  <c:v>0.78736447724491898</c:v>
                </c:pt>
                <c:pt idx="37">
                  <c:v>0.66731069660335995</c:v>
                </c:pt>
                <c:pt idx="38">
                  <c:v>0.56049434612889404</c:v>
                </c:pt>
                <c:pt idx="39">
                  <c:v>0.607982136416791</c:v>
                </c:pt>
                <c:pt idx="40">
                  <c:v>0.70147165910780795</c:v>
                </c:pt>
                <c:pt idx="41">
                  <c:v>0.74267461494968101</c:v>
                </c:pt>
                <c:pt idx="42">
                  <c:v>0.765990188057598</c:v>
                </c:pt>
                <c:pt idx="43">
                  <c:v>0.78177633121385903</c:v>
                </c:pt>
                <c:pt idx="44">
                  <c:v>0.79264021571110799</c:v>
                </c:pt>
                <c:pt idx="45">
                  <c:v>0.80200757918984</c:v>
                </c:pt>
                <c:pt idx="46">
                  <c:v>0.79945110056047497</c:v>
                </c:pt>
                <c:pt idx="47">
                  <c:v>0.71563671771299198</c:v>
                </c:pt>
                <c:pt idx="48">
                  <c:v>0.57579837447454496</c:v>
                </c:pt>
                <c:pt idx="49">
                  <c:v>0.45972207494316902</c:v>
                </c:pt>
                <c:pt idx="50">
                  <c:v>0.36489127106911501</c:v>
                </c:pt>
                <c:pt idx="51">
                  <c:v>0.288596907883308</c:v>
                </c:pt>
                <c:pt idx="52">
                  <c:v>0.227273441834517</c:v>
                </c:pt>
                <c:pt idx="53">
                  <c:v>0.178617389209377</c:v>
                </c:pt>
                <c:pt idx="54">
                  <c:v>0.140139023316978</c:v>
                </c:pt>
                <c:pt idx="55">
                  <c:v>0.109223880332287</c:v>
                </c:pt>
                <c:pt idx="56">
                  <c:v>8.4884083295635404E-2</c:v>
                </c:pt>
                <c:pt idx="57">
                  <c:v>6.5914233029768898E-2</c:v>
                </c:pt>
                <c:pt idx="58">
                  <c:v>5.0874640802635498E-2</c:v>
                </c:pt>
                <c:pt idx="59">
                  <c:v>3.9090846521556401E-2</c:v>
                </c:pt>
                <c:pt idx="60">
                  <c:v>3.00708414695471E-2</c:v>
                </c:pt>
                <c:pt idx="61">
                  <c:v>2.31067302904947E-2</c:v>
                </c:pt>
                <c:pt idx="62">
                  <c:v>1.77297880534306E-2</c:v>
                </c:pt>
                <c:pt idx="63">
                  <c:v>1.34629128123157E-2</c:v>
                </c:pt>
                <c:pt idx="64">
                  <c:v>1.01488579309149E-2</c:v>
                </c:pt>
                <c:pt idx="65">
                  <c:v>7.64661627930323E-3</c:v>
                </c:pt>
                <c:pt idx="66">
                  <c:v>5.7220790462688296E-3</c:v>
                </c:pt>
                <c:pt idx="67">
                  <c:v>4.2746756351881698E-3</c:v>
                </c:pt>
                <c:pt idx="68">
                  <c:v>3.2029602403692301E-3</c:v>
                </c:pt>
                <c:pt idx="69">
                  <c:v>2.3589371514729099E-3</c:v>
                </c:pt>
                <c:pt idx="70" formatCode="0.00E+00">
                  <c:v>1.74702250902068E-3</c:v>
                </c:pt>
                <c:pt idx="71" formatCode="0.00E+00">
                  <c:v>1.26544117261805E-3</c:v>
                </c:pt>
                <c:pt idx="72" formatCode="0.00E+00">
                  <c:v>9.0492458178901896E-4</c:v>
                </c:pt>
                <c:pt idx="73" formatCode="0.00E+00">
                  <c:v>6.3969472624145305E-4</c:v>
                </c:pt>
                <c:pt idx="74" formatCode="0.00E+00">
                  <c:v>4.4510367742773302E-4</c:v>
                </c:pt>
                <c:pt idx="75" formatCode="0.00E+00">
                  <c:v>3.1778792525746899E-4</c:v>
                </c:pt>
                <c:pt idx="76" formatCode="0.00E+00">
                  <c:v>2.1582294604696999E-4</c:v>
                </c:pt>
                <c:pt idx="77" formatCode="0.00E+00">
                  <c:v>1.4406385359434399E-4</c:v>
                </c:pt>
                <c:pt idx="78" formatCode="0.00E+00">
                  <c:v>1.00479192231955E-4</c:v>
                </c:pt>
                <c:pt idx="79" formatCode="0.00E+00">
                  <c:v>7.4252298709324494E-5</c:v>
                </c:pt>
                <c:pt idx="80" formatCode="0.00E+00">
                  <c:v>5.6187459680033102E-5</c:v>
                </c:pt>
                <c:pt idx="81" formatCode="0.00E+00">
                  <c:v>3.9783109851152001E-5</c:v>
                </c:pt>
                <c:pt idx="82" formatCode="0.00E+00">
                  <c:v>3.0247316293569E-5</c:v>
                </c:pt>
                <c:pt idx="83" formatCode="0.00E+00">
                  <c:v>2.3183043426587299E-5</c:v>
                </c:pt>
                <c:pt idx="84" formatCode="0.00E+00">
                  <c:v>1.6470116702478098E-5</c:v>
                </c:pt>
                <c:pt idx="85" formatCode="0.00E+00">
                  <c:v>9.8325234681459797E-6</c:v>
                </c:pt>
                <c:pt idx="86" formatCode="0.00E+00">
                  <c:v>5.2247892715486098E-6</c:v>
                </c:pt>
                <c:pt idx="87" formatCode="0.00E+00">
                  <c:v>2.8047339013271399E-6</c:v>
                </c:pt>
                <c:pt idx="88" formatCode="0.00E+00">
                  <c:v>8.3959850024625295E-7</c:v>
                </c:pt>
                <c:pt idx="89" formatCode="0.00E+00">
                  <c:v>0</c:v>
                </c:pt>
                <c:pt idx="90" formatCode="0.00E+00">
                  <c:v>0</c:v>
                </c:pt>
                <c:pt idx="91" formatCode="0.00E+00">
                  <c:v>0</c:v>
                </c:pt>
                <c:pt idx="92" formatCode="0.00E+00">
                  <c:v>0</c:v>
                </c:pt>
                <c:pt idx="93" formatCode="0.00E+00">
                  <c:v>0</c:v>
                </c:pt>
                <c:pt idx="94" formatCode="0.00E+00">
                  <c:v>0</c:v>
                </c:pt>
                <c:pt idx="95" formatCode="0.00E+00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548224"/>
        <c:axId val="102550144"/>
      </c:scatterChart>
      <c:valAx>
        <c:axId val="102548224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02550144"/>
        <c:crosses val="autoZero"/>
        <c:crossBetween val="midCat"/>
      </c:valAx>
      <c:valAx>
        <c:axId val="102550144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02548224"/>
        <c:crosses val="autoZero"/>
        <c:crossBetween val="midCat"/>
      </c:valAx>
      <c:spPr>
        <a:ln>
          <a:solidFill>
            <a:schemeClr val="bg1">
              <a:lumMod val="75000"/>
            </a:schemeClr>
          </a:solidFill>
        </a:ln>
      </c:spPr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Diagramm3"/>
  <sheetViews>
    <sheetView zoomScale="98" workbookViewId="0" zoomToFit="1"/>
  </sheetViews>
  <pageMargins left="0.7" right="0.7" top="0.78740157499999996" bottom="0.78740157499999996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Diagramm4"/>
  <sheetViews>
    <sheetView zoomScale="98" workbookViewId="0" zoomToFit="1"/>
  </sheetViews>
  <pageMargins left="0.7" right="0.7" top="0.78740157499999996" bottom="0.78740157499999996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Diagramm5"/>
  <sheetViews>
    <sheetView zoomScale="98" workbookViewId="0" zoomToFit="1"/>
  </sheetViews>
  <pageMargins left="0.7" right="0.7" top="0.78740157499999996" bottom="0.78740157499999996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Diagramm6"/>
  <sheetViews>
    <sheetView zoomScale="98" workbookViewId="0" zoomToFit="1"/>
  </sheetViews>
  <pageMargins left="0.7" right="0.7" top="0.78740157499999996" bottom="0.78740157499999996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Diagramm7"/>
  <sheetViews>
    <sheetView zoomScale="120" workbookViewId="0" zoomToFit="1"/>
  </sheetViews>
  <pageMargins left="0.7" right="0.7" top="0.78740157499999996" bottom="0.78740157499999996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>
  <sheetPr codeName="Diagramm8"/>
  <sheetViews>
    <sheetView zoomScale="120" workbookViewId="0" zoomToFit="1"/>
  </sheetViews>
  <pageMargins left="0.7" right="0.7" top="0.78740157499999996" bottom="0.78740157499999996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>
  <sheetPr codeName="Diagramm9"/>
  <sheetViews>
    <sheetView zoomScale="98" workbookViewId="0" zoomToFit="1"/>
  </sheetViews>
  <pageMargins left="0.7" right="0.7" top="0.78740157499999996" bottom="0.78740157499999996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>
  <sheetPr codeName="Diagramm10"/>
  <sheetViews>
    <sheetView zoomScale="120" workbookViewId="0" zoomToFit="1"/>
  </sheetViews>
  <pageMargins left="0.7" right="0.7" top="0.78740157499999996" bottom="0.78740157499999996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>
  <sheetPr codeName="Diagramm11"/>
  <sheetViews>
    <sheetView zoomScale="120" workbookViewId="0" zoomToFit="1"/>
  </sheetViews>
  <pageMargins left="0.7" right="0.7" top="0.78740157499999996" bottom="0.78740157499999996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>
  <sheetPr codeName="Diagramm12"/>
  <sheetViews>
    <sheetView zoomScale="98" workbookViewId="0" zoomToFit="1"/>
  </sheetViews>
  <pageMargins left="0.7" right="0.7" top="0.78740157499999996" bottom="0.78740157499999996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>
  <sheetPr codeName="Diagramm13"/>
  <sheetViews>
    <sheetView zoomScale="120" workbookViewId="0" zoomToFit="1"/>
  </sheetViews>
  <pageMargins left="0.7" right="0.7" top="0.78740157499999996" bottom="0.78740157499999996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44</xdr:col>
      <xdr:colOff>236220</xdr:colOff>
      <xdr:row>6</xdr:row>
      <xdr:rowOff>102870</xdr:rowOff>
    </xdr:from>
    <xdr:to>
      <xdr:col>51</xdr:col>
      <xdr:colOff>556260</xdr:colOff>
      <xdr:row>28</xdr:row>
      <xdr:rowOff>83820</xdr:rowOff>
    </xdr:to>
    <xdr:graphicFrame macro="">
      <xdr:nvGraphicFramePr>
        <xdr:cNvPr id="13" name="Diagramm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44</xdr:col>
      <xdr:colOff>243840</xdr:colOff>
      <xdr:row>28</xdr:row>
      <xdr:rowOff>156210</xdr:rowOff>
    </xdr:from>
    <xdr:to>
      <xdr:col>51</xdr:col>
      <xdr:colOff>579120</xdr:colOff>
      <xdr:row>49</xdr:row>
      <xdr:rowOff>76200</xdr:rowOff>
    </xdr:to>
    <xdr:graphicFrame macro="">
      <xdr:nvGraphicFramePr>
        <xdr:cNvPr id="15" name="Diagramm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1735" cy="6002694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1735" cy="6002694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91735" cy="6002694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291735" cy="6002694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302750" cy="6016625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302750" cy="6016625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291735" cy="6002694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302750" cy="6016625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302750" cy="6016625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291735" cy="6002694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302750" cy="6016625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Q102"/>
  <sheetViews>
    <sheetView topLeftCell="A19" workbookViewId="0"/>
  </sheetViews>
  <sheetFormatPr baseColWidth="10" defaultRowHeight="14.4" x14ac:dyDescent="0.3"/>
  <cols>
    <col min="1" max="1" width="13.88671875" style="5" bestFit="1" customWidth="1"/>
    <col min="2" max="2" width="14" style="5" bestFit="1" customWidth="1"/>
    <col min="3" max="3" width="4" bestFit="1" customWidth="1"/>
    <col min="4" max="4" width="4.44140625" bestFit="1" customWidth="1"/>
    <col min="5" max="5" width="10" bestFit="1" customWidth="1"/>
    <col min="6" max="6" width="13.88671875" bestFit="1" customWidth="1"/>
    <col min="7" max="7" width="5" bestFit="1" customWidth="1"/>
    <col min="8" max="9" width="10.88671875" bestFit="1" customWidth="1"/>
    <col min="10" max="11" width="5" bestFit="1" customWidth="1"/>
    <col min="14" max="17" width="11.44140625" style="5"/>
  </cols>
  <sheetData>
    <row r="1" spans="1:17" s="1" customFormat="1" x14ac:dyDescent="0.3">
      <c r="A1" s="4" t="s">
        <v>1</v>
      </c>
      <c r="B1" s="4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N1" s="4" t="s">
        <v>0</v>
      </c>
      <c r="O1" s="4"/>
      <c r="P1" s="4" t="s">
        <v>12</v>
      </c>
      <c r="Q1" s="4" t="s">
        <v>13</v>
      </c>
    </row>
    <row r="2" spans="1:17" ht="15" x14ac:dyDescent="0.25">
      <c r="A2" s="5">
        <v>0</v>
      </c>
      <c r="B2" s="5">
        <v>1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N2" s="5" t="str">
        <f>C2&amp;" "&amp;E2</f>
        <v>0 0</v>
      </c>
      <c r="P2" s="5">
        <f>D2</f>
        <v>0</v>
      </c>
      <c r="Q2" s="5">
        <f>K2</f>
        <v>0</v>
      </c>
    </row>
    <row r="3" spans="1:17" ht="15" x14ac:dyDescent="0.25">
      <c r="A3" s="5">
        <v>1</v>
      </c>
      <c r="B3" s="5">
        <v>2</v>
      </c>
      <c r="C3">
        <v>1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N3" s="5" t="str">
        <f t="shared" ref="N3:N66" si="0">C3&amp;" "&amp;E3</f>
        <v>1 0</v>
      </c>
      <c r="P3" s="5">
        <f>P2+D3</f>
        <v>0</v>
      </c>
      <c r="Q3" s="5">
        <f>Q2+K3</f>
        <v>0</v>
      </c>
    </row>
    <row r="4" spans="1:17" ht="15" x14ac:dyDescent="0.25">
      <c r="A4" s="5">
        <v>2</v>
      </c>
      <c r="B4" s="5">
        <v>3</v>
      </c>
      <c r="C4">
        <v>2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N4" s="5" t="str">
        <f t="shared" si="0"/>
        <v>2 0</v>
      </c>
      <c r="P4" s="5">
        <f t="shared" ref="P4:P67" si="1">P3+D4</f>
        <v>0</v>
      </c>
      <c r="Q4" s="5">
        <f t="shared" ref="Q4:Q67" si="2">Q3+K4</f>
        <v>0</v>
      </c>
    </row>
    <row r="5" spans="1:17" ht="15" x14ac:dyDescent="0.25">
      <c r="A5" s="5">
        <v>3</v>
      </c>
      <c r="B5" s="5">
        <v>4</v>
      </c>
      <c r="C5">
        <v>3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N5" s="5" t="str">
        <f t="shared" si="0"/>
        <v>3 0</v>
      </c>
      <c r="P5" s="5">
        <f t="shared" si="1"/>
        <v>0</v>
      </c>
      <c r="Q5" s="5">
        <f t="shared" si="2"/>
        <v>0</v>
      </c>
    </row>
    <row r="6" spans="1:17" ht="15" x14ac:dyDescent="0.25">
      <c r="A6" s="5">
        <v>4</v>
      </c>
      <c r="B6" s="5">
        <v>5</v>
      </c>
      <c r="C6">
        <v>4</v>
      </c>
      <c r="D6">
        <v>0</v>
      </c>
      <c r="E6">
        <v>0.37</v>
      </c>
      <c r="F6">
        <v>0.37</v>
      </c>
      <c r="G6">
        <v>0.1</v>
      </c>
      <c r="H6">
        <v>0.1</v>
      </c>
      <c r="I6">
        <v>0.37</v>
      </c>
      <c r="J6">
        <v>0.27</v>
      </c>
      <c r="K6">
        <v>0.27</v>
      </c>
      <c r="N6" s="5" t="str">
        <f t="shared" si="0"/>
        <v>4 0.37</v>
      </c>
      <c r="P6" s="5">
        <f t="shared" si="1"/>
        <v>0</v>
      </c>
      <c r="Q6" s="5">
        <f t="shared" si="2"/>
        <v>0.27</v>
      </c>
    </row>
    <row r="7" spans="1:17" ht="15" x14ac:dyDescent="0.25">
      <c r="A7" s="5">
        <v>5</v>
      </c>
      <c r="B7" s="5">
        <v>6</v>
      </c>
      <c r="C7">
        <v>5</v>
      </c>
      <c r="D7">
        <v>0</v>
      </c>
      <c r="E7">
        <v>0.67</v>
      </c>
      <c r="F7">
        <v>0.77</v>
      </c>
      <c r="G7">
        <v>0.33</v>
      </c>
      <c r="H7">
        <v>0.33</v>
      </c>
      <c r="I7">
        <v>0.77</v>
      </c>
      <c r="J7">
        <v>0.7</v>
      </c>
      <c r="K7">
        <v>0.43</v>
      </c>
      <c r="N7" s="5" t="str">
        <f t="shared" si="0"/>
        <v>5 0.67</v>
      </c>
      <c r="P7" s="5">
        <f t="shared" si="1"/>
        <v>0</v>
      </c>
      <c r="Q7" s="5">
        <f t="shared" si="2"/>
        <v>0.7</v>
      </c>
    </row>
    <row r="8" spans="1:17" ht="15" x14ac:dyDescent="0.25">
      <c r="A8" s="5">
        <v>6</v>
      </c>
      <c r="B8" s="5">
        <v>7</v>
      </c>
      <c r="C8">
        <v>6</v>
      </c>
      <c r="D8">
        <v>0.7</v>
      </c>
      <c r="E8">
        <v>0.76</v>
      </c>
      <c r="F8">
        <v>1.0900000000000001</v>
      </c>
      <c r="G8">
        <v>0.56999999999999995</v>
      </c>
      <c r="H8">
        <v>0.56999999999999995</v>
      </c>
      <c r="I8">
        <v>1.0900000000000001</v>
      </c>
      <c r="J8">
        <v>0.53</v>
      </c>
      <c r="K8">
        <v>0.52</v>
      </c>
      <c r="N8" s="5" t="str">
        <f t="shared" si="0"/>
        <v>6 0.76</v>
      </c>
      <c r="P8" s="5">
        <f t="shared" si="1"/>
        <v>0.7</v>
      </c>
      <c r="Q8" s="5">
        <f t="shared" si="2"/>
        <v>1.22</v>
      </c>
    </row>
    <row r="9" spans="1:17" ht="15" x14ac:dyDescent="0.25">
      <c r="A9" s="5">
        <v>7</v>
      </c>
      <c r="B9" s="5">
        <v>8</v>
      </c>
      <c r="C9">
        <v>7</v>
      </c>
      <c r="D9">
        <v>0.7</v>
      </c>
      <c r="E9">
        <v>0.8</v>
      </c>
      <c r="F9">
        <v>1.37</v>
      </c>
      <c r="G9">
        <v>0.79</v>
      </c>
      <c r="H9">
        <v>0.79</v>
      </c>
      <c r="I9">
        <v>1.37</v>
      </c>
      <c r="J9">
        <v>0.4</v>
      </c>
      <c r="K9">
        <v>0.57999999999999996</v>
      </c>
      <c r="N9" s="5" t="str">
        <f t="shared" si="0"/>
        <v>7 0.8</v>
      </c>
      <c r="P9" s="5">
        <f t="shared" si="1"/>
        <v>1.4</v>
      </c>
      <c r="Q9" s="5">
        <f t="shared" si="2"/>
        <v>1.7999999999999998</v>
      </c>
    </row>
    <row r="10" spans="1:17" ht="15" x14ac:dyDescent="0.25">
      <c r="A10" s="5">
        <v>8</v>
      </c>
      <c r="B10" s="5">
        <v>9</v>
      </c>
      <c r="C10">
        <v>8</v>
      </c>
      <c r="D10">
        <v>0.7</v>
      </c>
      <c r="E10">
        <v>0.83</v>
      </c>
      <c r="F10">
        <v>1.62</v>
      </c>
      <c r="G10">
        <v>1</v>
      </c>
      <c r="H10">
        <v>1</v>
      </c>
      <c r="I10">
        <v>1.62</v>
      </c>
      <c r="J10">
        <v>0.32</v>
      </c>
      <c r="K10">
        <v>0.62</v>
      </c>
      <c r="N10" s="5" t="str">
        <f t="shared" si="0"/>
        <v>8 0.83</v>
      </c>
      <c r="P10" s="5">
        <f t="shared" si="1"/>
        <v>2.0999999999999996</v>
      </c>
      <c r="Q10" s="5">
        <f t="shared" si="2"/>
        <v>2.42</v>
      </c>
    </row>
    <row r="11" spans="1:17" ht="15" x14ac:dyDescent="0.25">
      <c r="A11" s="5">
        <v>9</v>
      </c>
      <c r="B11" s="5">
        <v>10</v>
      </c>
      <c r="C11">
        <v>9</v>
      </c>
      <c r="D11">
        <v>0.7</v>
      </c>
      <c r="E11">
        <v>0.85</v>
      </c>
      <c r="F11">
        <v>1.85</v>
      </c>
      <c r="G11">
        <v>1.2</v>
      </c>
      <c r="H11">
        <v>1.2</v>
      </c>
      <c r="I11">
        <v>1.85</v>
      </c>
      <c r="J11">
        <v>0.27</v>
      </c>
      <c r="K11">
        <v>0.65</v>
      </c>
      <c r="N11" s="5" t="str">
        <f t="shared" si="0"/>
        <v>9 0.85</v>
      </c>
      <c r="P11" s="5">
        <f t="shared" si="1"/>
        <v>2.8</v>
      </c>
      <c r="Q11" s="5">
        <f t="shared" si="2"/>
        <v>3.07</v>
      </c>
    </row>
    <row r="12" spans="1:17" ht="15" x14ac:dyDescent="0.25">
      <c r="A12" s="5">
        <v>10</v>
      </c>
      <c r="B12" s="5">
        <v>11</v>
      </c>
      <c r="C12">
        <v>10</v>
      </c>
      <c r="D12">
        <v>0.7</v>
      </c>
      <c r="E12">
        <v>0.86</v>
      </c>
      <c r="F12">
        <v>2.06</v>
      </c>
      <c r="G12">
        <v>1.39</v>
      </c>
      <c r="H12">
        <v>1.39</v>
      </c>
      <c r="I12">
        <v>2.06</v>
      </c>
      <c r="J12">
        <v>0.25</v>
      </c>
      <c r="K12">
        <v>0.67</v>
      </c>
      <c r="N12" s="5" t="str">
        <f t="shared" si="0"/>
        <v>10 0.86</v>
      </c>
      <c r="P12" s="5">
        <f t="shared" si="1"/>
        <v>3.5</v>
      </c>
      <c r="Q12" s="5">
        <f t="shared" si="2"/>
        <v>3.7399999999999998</v>
      </c>
    </row>
    <row r="13" spans="1:17" ht="15" x14ac:dyDescent="0.25">
      <c r="A13" s="5">
        <v>11</v>
      </c>
      <c r="B13" s="5">
        <v>12</v>
      </c>
      <c r="C13">
        <v>11</v>
      </c>
      <c r="D13">
        <v>0.7</v>
      </c>
      <c r="E13">
        <v>0.87</v>
      </c>
      <c r="F13">
        <v>2.2599999999999998</v>
      </c>
      <c r="G13">
        <v>1.57</v>
      </c>
      <c r="H13">
        <v>1.57</v>
      </c>
      <c r="I13">
        <v>2.2599999999999998</v>
      </c>
      <c r="J13">
        <v>0.24</v>
      </c>
      <c r="K13">
        <v>0.69</v>
      </c>
      <c r="N13" s="5" t="str">
        <f t="shared" si="0"/>
        <v>11 0.87</v>
      </c>
      <c r="P13" s="5">
        <f t="shared" si="1"/>
        <v>4.2</v>
      </c>
      <c r="Q13" s="5">
        <f t="shared" si="2"/>
        <v>4.43</v>
      </c>
    </row>
    <row r="14" spans="1:17" ht="15" x14ac:dyDescent="0.25">
      <c r="A14" s="5">
        <v>12</v>
      </c>
      <c r="B14" s="5">
        <v>13</v>
      </c>
      <c r="C14">
        <v>12</v>
      </c>
      <c r="D14">
        <v>0.7</v>
      </c>
      <c r="E14">
        <v>0.88</v>
      </c>
      <c r="F14">
        <v>2.4500000000000002</v>
      </c>
      <c r="G14">
        <v>1.74</v>
      </c>
      <c r="H14">
        <v>1.74</v>
      </c>
      <c r="I14">
        <v>2.4500000000000002</v>
      </c>
      <c r="J14">
        <v>0.25</v>
      </c>
      <c r="K14">
        <v>0.71</v>
      </c>
      <c r="N14" s="5" t="str">
        <f t="shared" si="0"/>
        <v>12 0.88</v>
      </c>
      <c r="P14" s="5">
        <f t="shared" si="1"/>
        <v>4.9000000000000004</v>
      </c>
      <c r="Q14" s="5">
        <f t="shared" si="2"/>
        <v>5.14</v>
      </c>
    </row>
    <row r="15" spans="1:17" ht="15" x14ac:dyDescent="0.25">
      <c r="A15" s="5">
        <v>13</v>
      </c>
      <c r="B15" s="5">
        <v>14</v>
      </c>
      <c r="C15">
        <v>13</v>
      </c>
      <c r="D15">
        <v>0.7</v>
      </c>
      <c r="E15">
        <v>0.89</v>
      </c>
      <c r="F15">
        <v>2.62</v>
      </c>
      <c r="G15">
        <v>1.9</v>
      </c>
      <c r="H15">
        <v>1.9</v>
      </c>
      <c r="I15">
        <v>2.62</v>
      </c>
      <c r="J15">
        <v>0.27</v>
      </c>
      <c r="K15">
        <v>0.72</v>
      </c>
      <c r="N15" s="5" t="str">
        <f t="shared" si="0"/>
        <v>13 0.89</v>
      </c>
      <c r="P15" s="5">
        <f t="shared" si="1"/>
        <v>5.6000000000000005</v>
      </c>
      <c r="Q15" s="5">
        <f t="shared" si="2"/>
        <v>5.8599999999999994</v>
      </c>
    </row>
    <row r="16" spans="1:17" ht="15" x14ac:dyDescent="0.25">
      <c r="A16" s="5">
        <v>14</v>
      </c>
      <c r="B16" s="5">
        <v>15</v>
      </c>
      <c r="C16">
        <v>14</v>
      </c>
      <c r="D16">
        <v>0.7</v>
      </c>
      <c r="E16">
        <v>0.89</v>
      </c>
      <c r="F16">
        <v>2.79</v>
      </c>
      <c r="G16">
        <v>2.06</v>
      </c>
      <c r="H16">
        <v>2.06</v>
      </c>
      <c r="I16">
        <v>2.79</v>
      </c>
      <c r="J16">
        <v>0.31</v>
      </c>
      <c r="K16">
        <v>0.74</v>
      </c>
      <c r="N16" s="5" t="str">
        <f t="shared" si="0"/>
        <v>14 0.89</v>
      </c>
      <c r="P16" s="5">
        <f t="shared" si="1"/>
        <v>6.3000000000000007</v>
      </c>
      <c r="Q16" s="5">
        <f t="shared" si="2"/>
        <v>6.6</v>
      </c>
    </row>
    <row r="17" spans="1:17" ht="15" x14ac:dyDescent="0.25">
      <c r="A17" s="5">
        <v>15</v>
      </c>
      <c r="B17" s="5">
        <v>16</v>
      </c>
      <c r="C17">
        <v>15</v>
      </c>
      <c r="D17">
        <v>0.7</v>
      </c>
      <c r="E17">
        <v>0.9</v>
      </c>
      <c r="F17">
        <v>2.95</v>
      </c>
      <c r="G17">
        <v>2.21</v>
      </c>
      <c r="H17">
        <v>2.21</v>
      </c>
      <c r="I17">
        <v>2.95</v>
      </c>
      <c r="J17">
        <v>0.36</v>
      </c>
      <c r="K17">
        <v>0.75</v>
      </c>
      <c r="N17" s="5" t="str">
        <f t="shared" si="0"/>
        <v>15 0.9</v>
      </c>
      <c r="P17" s="5">
        <f t="shared" si="1"/>
        <v>7.0000000000000009</v>
      </c>
      <c r="Q17" s="5">
        <f t="shared" si="2"/>
        <v>7.35</v>
      </c>
    </row>
    <row r="18" spans="1:17" ht="15" x14ac:dyDescent="0.25">
      <c r="A18" s="5">
        <v>16</v>
      </c>
      <c r="B18" s="5">
        <v>17</v>
      </c>
      <c r="C18">
        <v>16</v>
      </c>
      <c r="D18">
        <v>0.7</v>
      </c>
      <c r="E18">
        <v>0.9</v>
      </c>
      <c r="F18">
        <v>3.11</v>
      </c>
      <c r="G18">
        <v>2.35</v>
      </c>
      <c r="H18">
        <v>2.35</v>
      </c>
      <c r="I18">
        <v>3.11</v>
      </c>
      <c r="J18">
        <v>0.41</v>
      </c>
      <c r="K18">
        <v>0.76</v>
      </c>
      <c r="N18" s="5" t="str">
        <f t="shared" si="0"/>
        <v>16 0.9</v>
      </c>
      <c r="P18" s="5">
        <f t="shared" si="1"/>
        <v>7.7000000000000011</v>
      </c>
      <c r="Q18" s="5">
        <f t="shared" si="2"/>
        <v>8.11</v>
      </c>
    </row>
    <row r="19" spans="1:17" ht="15" x14ac:dyDescent="0.25">
      <c r="A19" s="5">
        <v>17</v>
      </c>
      <c r="B19" s="5">
        <v>18</v>
      </c>
      <c r="C19">
        <v>17</v>
      </c>
      <c r="D19">
        <v>0.7</v>
      </c>
      <c r="E19">
        <v>0.91</v>
      </c>
      <c r="F19">
        <v>3.26</v>
      </c>
      <c r="G19">
        <v>2.4900000000000002</v>
      </c>
      <c r="H19">
        <v>2.4900000000000002</v>
      </c>
      <c r="I19">
        <v>3.26</v>
      </c>
      <c r="J19">
        <v>0.48</v>
      </c>
      <c r="K19">
        <v>0.77</v>
      </c>
      <c r="N19" s="5" t="str">
        <f t="shared" si="0"/>
        <v>17 0.91</v>
      </c>
      <c r="P19" s="5">
        <f t="shared" si="1"/>
        <v>8.4</v>
      </c>
      <c r="Q19" s="5">
        <f t="shared" si="2"/>
        <v>8.879999999999999</v>
      </c>
    </row>
    <row r="20" spans="1:17" ht="15" x14ac:dyDescent="0.25">
      <c r="A20" s="5">
        <v>18</v>
      </c>
      <c r="B20" s="5">
        <v>19</v>
      </c>
      <c r="C20">
        <v>18</v>
      </c>
      <c r="D20">
        <v>0.7</v>
      </c>
      <c r="E20">
        <v>0.91</v>
      </c>
      <c r="F20">
        <v>3.4</v>
      </c>
      <c r="G20">
        <v>2.63</v>
      </c>
      <c r="H20">
        <v>2.63</v>
      </c>
      <c r="I20">
        <v>3.4</v>
      </c>
      <c r="J20">
        <v>0.55000000000000004</v>
      </c>
      <c r="K20">
        <v>0.77</v>
      </c>
      <c r="N20" s="5" t="str">
        <f t="shared" si="0"/>
        <v>18 0.91</v>
      </c>
      <c r="P20" s="5">
        <f t="shared" si="1"/>
        <v>9.1</v>
      </c>
      <c r="Q20" s="5">
        <f t="shared" si="2"/>
        <v>9.6499999999999986</v>
      </c>
    </row>
    <row r="21" spans="1:17" ht="15" x14ac:dyDescent="0.25">
      <c r="A21" s="5">
        <v>19</v>
      </c>
      <c r="B21" s="5">
        <v>20</v>
      </c>
      <c r="C21">
        <v>19</v>
      </c>
      <c r="D21">
        <v>0.7</v>
      </c>
      <c r="E21">
        <v>0.91</v>
      </c>
      <c r="F21">
        <v>3.54</v>
      </c>
      <c r="G21">
        <v>2.76</v>
      </c>
      <c r="H21">
        <v>2.76</v>
      </c>
      <c r="I21">
        <v>3.54</v>
      </c>
      <c r="J21">
        <v>0.63</v>
      </c>
      <c r="K21">
        <v>0.78</v>
      </c>
      <c r="N21" s="5" t="str">
        <f t="shared" si="0"/>
        <v>19 0.91</v>
      </c>
      <c r="P21" s="5">
        <f t="shared" si="1"/>
        <v>9.7999999999999989</v>
      </c>
      <c r="Q21" s="5">
        <f t="shared" si="2"/>
        <v>10.429999999999998</v>
      </c>
    </row>
    <row r="22" spans="1:17" ht="15" x14ac:dyDescent="0.25">
      <c r="A22" s="5">
        <v>20</v>
      </c>
      <c r="B22" s="5">
        <v>21</v>
      </c>
      <c r="C22">
        <v>20</v>
      </c>
      <c r="D22">
        <v>0.7</v>
      </c>
      <c r="E22">
        <v>0.92</v>
      </c>
      <c r="F22">
        <v>3.68</v>
      </c>
      <c r="G22">
        <v>2.89</v>
      </c>
      <c r="H22">
        <v>2.89</v>
      </c>
      <c r="I22">
        <v>3.68</v>
      </c>
      <c r="J22">
        <v>0.72</v>
      </c>
      <c r="K22">
        <v>0.79</v>
      </c>
      <c r="N22" s="5" t="str">
        <f t="shared" si="0"/>
        <v>20 0.92</v>
      </c>
      <c r="P22" s="5">
        <f t="shared" si="1"/>
        <v>10.499999999999998</v>
      </c>
      <c r="Q22" s="5">
        <f t="shared" si="2"/>
        <v>11.219999999999999</v>
      </c>
    </row>
    <row r="23" spans="1:17" ht="15" x14ac:dyDescent="0.25">
      <c r="A23" s="5">
        <v>21</v>
      </c>
      <c r="B23" s="5">
        <v>22</v>
      </c>
      <c r="C23">
        <v>21</v>
      </c>
      <c r="D23">
        <v>0.7</v>
      </c>
      <c r="E23">
        <v>0.92</v>
      </c>
      <c r="F23">
        <v>3.81</v>
      </c>
      <c r="G23">
        <v>3.02</v>
      </c>
      <c r="H23">
        <v>3.02</v>
      </c>
      <c r="I23">
        <v>3.81</v>
      </c>
      <c r="J23">
        <v>0.81</v>
      </c>
      <c r="K23">
        <v>0.79</v>
      </c>
      <c r="N23" s="5" t="str">
        <f t="shared" si="0"/>
        <v>21 0.92</v>
      </c>
      <c r="P23" s="5">
        <f t="shared" si="1"/>
        <v>11.199999999999998</v>
      </c>
      <c r="Q23" s="5">
        <f t="shared" si="2"/>
        <v>12.009999999999998</v>
      </c>
    </row>
    <row r="24" spans="1:17" ht="15" x14ac:dyDescent="0.25">
      <c r="A24" s="5">
        <v>22</v>
      </c>
      <c r="B24" s="5">
        <v>23</v>
      </c>
      <c r="C24">
        <v>22</v>
      </c>
      <c r="D24">
        <v>0.7</v>
      </c>
      <c r="E24">
        <v>0.92</v>
      </c>
      <c r="F24">
        <v>3.94</v>
      </c>
      <c r="G24">
        <v>3.14</v>
      </c>
      <c r="H24">
        <v>3.14</v>
      </c>
      <c r="I24">
        <v>3.94</v>
      </c>
      <c r="J24">
        <v>0.91</v>
      </c>
      <c r="K24">
        <v>0.8</v>
      </c>
      <c r="N24" s="5" t="str">
        <f t="shared" si="0"/>
        <v>22 0.92</v>
      </c>
      <c r="P24" s="5">
        <f t="shared" si="1"/>
        <v>11.899999999999997</v>
      </c>
      <c r="Q24" s="5">
        <f t="shared" si="2"/>
        <v>12.809999999999999</v>
      </c>
    </row>
    <row r="25" spans="1:17" ht="15" x14ac:dyDescent="0.25">
      <c r="A25" s="5">
        <v>23</v>
      </c>
      <c r="B25" s="5">
        <v>24</v>
      </c>
      <c r="C25">
        <v>23</v>
      </c>
      <c r="D25">
        <v>0.7</v>
      </c>
      <c r="E25">
        <v>0.92</v>
      </c>
      <c r="F25">
        <v>4.0599999999999996</v>
      </c>
      <c r="G25">
        <v>3.26</v>
      </c>
      <c r="H25">
        <v>3.26</v>
      </c>
      <c r="I25">
        <v>4.0599999999999996</v>
      </c>
      <c r="J25">
        <v>1.01</v>
      </c>
      <c r="K25">
        <v>0.8</v>
      </c>
      <c r="N25" s="5" t="str">
        <f t="shared" si="0"/>
        <v>23 0.92</v>
      </c>
      <c r="P25" s="5">
        <f t="shared" si="1"/>
        <v>12.599999999999996</v>
      </c>
      <c r="Q25" s="5">
        <f t="shared" si="2"/>
        <v>13.61</v>
      </c>
    </row>
    <row r="26" spans="1:17" ht="15" x14ac:dyDescent="0.25">
      <c r="A26" s="5">
        <v>24</v>
      </c>
      <c r="B26" s="5">
        <v>25</v>
      </c>
      <c r="C26">
        <v>24</v>
      </c>
      <c r="D26">
        <v>0.7</v>
      </c>
      <c r="E26">
        <v>0.92</v>
      </c>
      <c r="F26">
        <v>4.18</v>
      </c>
      <c r="G26">
        <v>3.38</v>
      </c>
      <c r="H26">
        <v>3.38</v>
      </c>
      <c r="I26">
        <v>4.18</v>
      </c>
      <c r="J26">
        <v>1.1200000000000001</v>
      </c>
      <c r="K26">
        <v>0.81</v>
      </c>
      <c r="N26" s="5" t="str">
        <f t="shared" si="0"/>
        <v>24 0.92</v>
      </c>
      <c r="P26" s="5">
        <f t="shared" si="1"/>
        <v>13.299999999999995</v>
      </c>
      <c r="Q26" s="5">
        <f t="shared" si="2"/>
        <v>14.42</v>
      </c>
    </row>
    <row r="27" spans="1:17" ht="15" x14ac:dyDescent="0.25">
      <c r="A27" s="5">
        <v>25</v>
      </c>
      <c r="B27" s="5">
        <v>26</v>
      </c>
      <c r="C27">
        <v>25</v>
      </c>
      <c r="D27">
        <v>0.7</v>
      </c>
      <c r="E27">
        <v>0.93</v>
      </c>
      <c r="F27">
        <v>4.3</v>
      </c>
      <c r="G27">
        <v>3.49</v>
      </c>
      <c r="H27">
        <v>3.49</v>
      </c>
      <c r="I27">
        <v>4.3</v>
      </c>
      <c r="J27">
        <v>1.23</v>
      </c>
      <c r="K27">
        <v>0.81</v>
      </c>
      <c r="N27" s="5" t="str">
        <f t="shared" si="0"/>
        <v>25 0.93</v>
      </c>
      <c r="P27" s="5">
        <f t="shared" si="1"/>
        <v>13.999999999999995</v>
      </c>
      <c r="Q27" s="5">
        <f t="shared" si="2"/>
        <v>15.23</v>
      </c>
    </row>
    <row r="28" spans="1:17" ht="15" x14ac:dyDescent="0.25">
      <c r="A28" s="5">
        <v>26</v>
      </c>
      <c r="B28" s="5">
        <v>27</v>
      </c>
      <c r="C28">
        <v>26</v>
      </c>
      <c r="D28">
        <v>0.7</v>
      </c>
      <c r="E28">
        <v>0.93</v>
      </c>
      <c r="F28">
        <v>4.42</v>
      </c>
      <c r="G28">
        <v>3.6</v>
      </c>
      <c r="H28">
        <v>3.6</v>
      </c>
      <c r="I28">
        <v>4.42</v>
      </c>
      <c r="J28">
        <v>1.34</v>
      </c>
      <c r="K28">
        <v>0.82</v>
      </c>
      <c r="N28" s="5" t="str">
        <f t="shared" si="0"/>
        <v>26 0.93</v>
      </c>
      <c r="P28" s="5">
        <f t="shared" si="1"/>
        <v>14.699999999999994</v>
      </c>
      <c r="Q28" s="5">
        <f t="shared" si="2"/>
        <v>16.05</v>
      </c>
    </row>
    <row r="29" spans="1:17" ht="15" x14ac:dyDescent="0.25">
      <c r="A29" s="5">
        <v>27</v>
      </c>
      <c r="B29" s="5">
        <v>28</v>
      </c>
      <c r="C29">
        <v>27</v>
      </c>
      <c r="D29">
        <v>0.7</v>
      </c>
      <c r="E29">
        <v>0.93</v>
      </c>
      <c r="F29">
        <v>4.53</v>
      </c>
      <c r="G29">
        <v>3.71</v>
      </c>
      <c r="H29">
        <v>3.71</v>
      </c>
      <c r="I29">
        <v>4.53</v>
      </c>
      <c r="J29">
        <v>1.46</v>
      </c>
      <c r="K29">
        <v>0.82</v>
      </c>
      <c r="N29" s="5" t="str">
        <f t="shared" si="0"/>
        <v>27 0.93</v>
      </c>
      <c r="P29" s="5">
        <f t="shared" si="1"/>
        <v>15.399999999999993</v>
      </c>
      <c r="Q29" s="5">
        <f t="shared" si="2"/>
        <v>16.87</v>
      </c>
    </row>
    <row r="30" spans="1:17" ht="15" x14ac:dyDescent="0.25">
      <c r="A30" s="5">
        <v>28</v>
      </c>
      <c r="B30" s="5">
        <v>29</v>
      </c>
      <c r="C30">
        <v>28</v>
      </c>
      <c r="D30">
        <v>0.7</v>
      </c>
      <c r="E30">
        <v>0.93</v>
      </c>
      <c r="F30">
        <v>4.6500000000000004</v>
      </c>
      <c r="G30">
        <v>3.82</v>
      </c>
      <c r="H30">
        <v>3.82</v>
      </c>
      <c r="I30">
        <v>4.6500000000000004</v>
      </c>
      <c r="J30">
        <v>1.58</v>
      </c>
      <c r="K30">
        <v>0.82</v>
      </c>
      <c r="N30" s="5" t="str">
        <f t="shared" si="0"/>
        <v>28 0.93</v>
      </c>
      <c r="P30" s="5">
        <f t="shared" si="1"/>
        <v>16.099999999999994</v>
      </c>
      <c r="Q30" s="5">
        <f t="shared" si="2"/>
        <v>17.690000000000001</v>
      </c>
    </row>
    <row r="31" spans="1:17" ht="15" x14ac:dyDescent="0.25">
      <c r="A31" s="5">
        <v>29</v>
      </c>
      <c r="B31" s="5">
        <v>30</v>
      </c>
      <c r="C31">
        <v>29</v>
      </c>
      <c r="D31">
        <v>0.7</v>
      </c>
      <c r="E31">
        <v>0.93</v>
      </c>
      <c r="F31">
        <v>4.76</v>
      </c>
      <c r="G31">
        <v>3.93</v>
      </c>
      <c r="H31">
        <v>3.93</v>
      </c>
      <c r="I31">
        <v>4.76</v>
      </c>
      <c r="J31">
        <v>1.71</v>
      </c>
      <c r="K31">
        <v>0.83</v>
      </c>
      <c r="N31" s="5" t="str">
        <f t="shared" si="0"/>
        <v>29 0.93</v>
      </c>
      <c r="P31" s="5">
        <f t="shared" si="1"/>
        <v>16.799999999999994</v>
      </c>
      <c r="Q31" s="5">
        <f t="shared" si="2"/>
        <v>18.52</v>
      </c>
    </row>
    <row r="32" spans="1:17" ht="15" x14ac:dyDescent="0.25">
      <c r="A32" s="5">
        <v>30</v>
      </c>
      <c r="B32" s="5">
        <v>31</v>
      </c>
      <c r="C32">
        <v>30</v>
      </c>
      <c r="D32">
        <v>0.7</v>
      </c>
      <c r="E32">
        <v>0.93</v>
      </c>
      <c r="F32">
        <v>4.8600000000000003</v>
      </c>
      <c r="G32">
        <v>4.03</v>
      </c>
      <c r="H32">
        <v>4.03</v>
      </c>
      <c r="I32">
        <v>4.8600000000000003</v>
      </c>
      <c r="J32">
        <v>1.84</v>
      </c>
      <c r="K32">
        <v>0.83</v>
      </c>
      <c r="N32" s="5" t="str">
        <f t="shared" si="0"/>
        <v>30 0.93</v>
      </c>
      <c r="P32" s="5">
        <f t="shared" si="1"/>
        <v>17.499999999999993</v>
      </c>
      <c r="Q32" s="5">
        <f t="shared" si="2"/>
        <v>19.349999999999998</v>
      </c>
    </row>
    <row r="33" spans="1:17" ht="15" x14ac:dyDescent="0.25">
      <c r="A33" s="5">
        <v>31</v>
      </c>
      <c r="B33" s="5">
        <v>32</v>
      </c>
      <c r="C33">
        <v>31</v>
      </c>
      <c r="D33">
        <v>1.2</v>
      </c>
      <c r="E33">
        <v>0.94</v>
      </c>
      <c r="F33">
        <v>4.97</v>
      </c>
      <c r="G33">
        <v>4.1399999999999997</v>
      </c>
      <c r="H33">
        <v>4.1399999999999997</v>
      </c>
      <c r="I33">
        <v>4.97</v>
      </c>
      <c r="J33">
        <v>1.47</v>
      </c>
      <c r="K33">
        <v>0.83</v>
      </c>
      <c r="N33" s="5" t="str">
        <f t="shared" si="0"/>
        <v>31 0.94</v>
      </c>
      <c r="P33" s="5">
        <f t="shared" si="1"/>
        <v>18.699999999999992</v>
      </c>
      <c r="Q33" s="5">
        <f t="shared" si="2"/>
        <v>20.179999999999996</v>
      </c>
    </row>
    <row r="34" spans="1:17" ht="15" x14ac:dyDescent="0.25">
      <c r="A34" s="5">
        <v>32</v>
      </c>
      <c r="B34" s="5">
        <v>33</v>
      </c>
      <c r="C34">
        <v>32</v>
      </c>
      <c r="D34">
        <v>1.2</v>
      </c>
      <c r="E34">
        <v>0.94</v>
      </c>
      <c r="F34">
        <v>5.07</v>
      </c>
      <c r="G34">
        <v>4.24</v>
      </c>
      <c r="H34">
        <v>4.24</v>
      </c>
      <c r="I34">
        <v>5.07</v>
      </c>
      <c r="J34">
        <v>1.1100000000000001</v>
      </c>
      <c r="K34">
        <v>0.84</v>
      </c>
      <c r="N34" s="5" t="str">
        <f t="shared" si="0"/>
        <v>32 0.94</v>
      </c>
      <c r="P34" s="5">
        <f t="shared" si="1"/>
        <v>19.899999999999991</v>
      </c>
      <c r="Q34" s="5">
        <f t="shared" si="2"/>
        <v>21.019999999999996</v>
      </c>
    </row>
    <row r="35" spans="1:17" ht="15" x14ac:dyDescent="0.25">
      <c r="A35" s="5">
        <v>33</v>
      </c>
      <c r="B35" s="5">
        <v>34</v>
      </c>
      <c r="C35">
        <v>33</v>
      </c>
      <c r="D35">
        <v>1.2</v>
      </c>
      <c r="E35">
        <v>0.94</v>
      </c>
      <c r="F35">
        <v>5.17</v>
      </c>
      <c r="G35">
        <v>4.34</v>
      </c>
      <c r="H35">
        <v>4.34</v>
      </c>
      <c r="I35">
        <v>5.17</v>
      </c>
      <c r="J35">
        <v>0.75</v>
      </c>
      <c r="K35">
        <v>0.84</v>
      </c>
      <c r="N35" s="5" t="str">
        <f t="shared" si="0"/>
        <v>33 0.94</v>
      </c>
      <c r="P35" s="5">
        <f t="shared" si="1"/>
        <v>21.099999999999991</v>
      </c>
      <c r="Q35" s="5">
        <f t="shared" si="2"/>
        <v>21.859999999999996</v>
      </c>
    </row>
    <row r="36" spans="1:17" ht="15" x14ac:dyDescent="0.25">
      <c r="A36" s="5">
        <v>34</v>
      </c>
      <c r="B36" s="5">
        <v>35</v>
      </c>
      <c r="C36">
        <v>34</v>
      </c>
      <c r="D36">
        <v>1.2</v>
      </c>
      <c r="E36">
        <v>0.89</v>
      </c>
      <c r="F36">
        <v>5.22</v>
      </c>
      <c r="G36">
        <v>4.38</v>
      </c>
      <c r="H36">
        <v>4.38</v>
      </c>
      <c r="I36">
        <v>5.22</v>
      </c>
      <c r="J36">
        <v>0.39</v>
      </c>
      <c r="K36">
        <v>0.84</v>
      </c>
      <c r="N36" s="5" t="str">
        <f t="shared" si="0"/>
        <v>34 0.89</v>
      </c>
      <c r="P36" s="5">
        <f t="shared" si="1"/>
        <v>22.29999999999999</v>
      </c>
      <c r="Q36" s="5">
        <f t="shared" si="2"/>
        <v>22.699999999999996</v>
      </c>
    </row>
    <row r="37" spans="1:17" x14ac:dyDescent="0.3">
      <c r="A37" s="5">
        <v>35</v>
      </c>
      <c r="B37" s="5">
        <v>36</v>
      </c>
      <c r="C37">
        <v>35</v>
      </c>
      <c r="D37">
        <v>1.2</v>
      </c>
      <c r="E37">
        <v>0</v>
      </c>
      <c r="F37">
        <v>4.38</v>
      </c>
      <c r="G37">
        <v>3.57</v>
      </c>
      <c r="H37">
        <v>3.57</v>
      </c>
      <c r="I37">
        <v>4.38</v>
      </c>
      <c r="J37">
        <v>0</v>
      </c>
      <c r="K37">
        <v>0.81</v>
      </c>
      <c r="N37" s="5" t="str">
        <f t="shared" si="0"/>
        <v>35 0</v>
      </c>
      <c r="P37" s="5">
        <f t="shared" si="1"/>
        <v>23.499999999999989</v>
      </c>
      <c r="Q37" s="5">
        <f t="shared" si="2"/>
        <v>23.509999999999994</v>
      </c>
    </row>
    <row r="38" spans="1:17" x14ac:dyDescent="0.3">
      <c r="A38" s="5">
        <v>36</v>
      </c>
      <c r="B38" s="5">
        <v>37</v>
      </c>
      <c r="C38">
        <v>36</v>
      </c>
      <c r="D38">
        <v>0.7</v>
      </c>
      <c r="E38">
        <v>0</v>
      </c>
      <c r="F38">
        <v>3.57</v>
      </c>
      <c r="G38">
        <v>2.79</v>
      </c>
      <c r="H38">
        <v>2.79</v>
      </c>
      <c r="I38">
        <v>3.57</v>
      </c>
      <c r="J38">
        <v>0.08</v>
      </c>
      <c r="K38">
        <v>0.78</v>
      </c>
      <c r="N38" s="5" t="str">
        <f t="shared" si="0"/>
        <v>36 0</v>
      </c>
      <c r="P38" s="5">
        <f t="shared" si="1"/>
        <v>24.199999999999989</v>
      </c>
      <c r="Q38" s="5">
        <f t="shared" si="2"/>
        <v>24.289999999999996</v>
      </c>
    </row>
    <row r="39" spans="1:17" x14ac:dyDescent="0.3">
      <c r="A39" s="5">
        <v>37</v>
      </c>
      <c r="B39" s="5">
        <v>38</v>
      </c>
      <c r="C39">
        <v>37</v>
      </c>
      <c r="D39">
        <v>0.7</v>
      </c>
      <c r="E39">
        <v>0</v>
      </c>
      <c r="F39">
        <v>2.79</v>
      </c>
      <c r="G39">
        <v>2.0499999999999998</v>
      </c>
      <c r="H39">
        <v>2.0499999999999998</v>
      </c>
      <c r="I39">
        <v>2.79</v>
      </c>
      <c r="J39">
        <v>0.12</v>
      </c>
      <c r="K39">
        <v>0.74</v>
      </c>
      <c r="N39" s="5" t="str">
        <f t="shared" si="0"/>
        <v>37 0</v>
      </c>
      <c r="P39" s="5">
        <f t="shared" si="1"/>
        <v>24.899999999999988</v>
      </c>
      <c r="Q39" s="5">
        <f t="shared" si="2"/>
        <v>25.029999999999994</v>
      </c>
    </row>
    <row r="40" spans="1:17" x14ac:dyDescent="0.3">
      <c r="A40" s="5">
        <v>38</v>
      </c>
      <c r="B40" s="5">
        <v>39</v>
      </c>
      <c r="C40">
        <v>38</v>
      </c>
      <c r="D40">
        <v>0.7</v>
      </c>
      <c r="E40">
        <v>0.83</v>
      </c>
      <c r="F40">
        <v>2.88</v>
      </c>
      <c r="G40">
        <v>2.14</v>
      </c>
      <c r="H40">
        <v>2.14</v>
      </c>
      <c r="I40">
        <v>2.88</v>
      </c>
      <c r="J40">
        <v>0.16</v>
      </c>
      <c r="K40">
        <v>0.74</v>
      </c>
      <c r="N40" s="5" t="str">
        <f t="shared" si="0"/>
        <v>38 0.83</v>
      </c>
      <c r="P40" s="5">
        <f t="shared" si="1"/>
        <v>25.599999999999987</v>
      </c>
      <c r="Q40" s="5">
        <f t="shared" si="2"/>
        <v>25.769999999999992</v>
      </c>
    </row>
    <row r="41" spans="1:17" x14ac:dyDescent="0.3">
      <c r="A41" s="5">
        <v>39</v>
      </c>
      <c r="B41" s="5">
        <v>40</v>
      </c>
      <c r="C41">
        <v>39</v>
      </c>
      <c r="D41">
        <v>0.7</v>
      </c>
      <c r="E41">
        <v>0.9</v>
      </c>
      <c r="F41">
        <v>3.04</v>
      </c>
      <c r="G41">
        <v>2.29</v>
      </c>
      <c r="H41">
        <v>2.29</v>
      </c>
      <c r="I41">
        <v>3.04</v>
      </c>
      <c r="J41">
        <v>0.21</v>
      </c>
      <c r="K41">
        <v>0.75</v>
      </c>
      <c r="N41" s="5" t="str">
        <f t="shared" si="0"/>
        <v>39 0.9</v>
      </c>
      <c r="P41" s="5">
        <f t="shared" si="1"/>
        <v>26.299999999999986</v>
      </c>
      <c r="Q41" s="5">
        <f t="shared" si="2"/>
        <v>26.519999999999992</v>
      </c>
    </row>
    <row r="42" spans="1:17" x14ac:dyDescent="0.3">
      <c r="A42" s="5">
        <v>40</v>
      </c>
      <c r="B42" s="5">
        <v>41</v>
      </c>
      <c r="C42">
        <v>40</v>
      </c>
      <c r="D42">
        <v>0.7</v>
      </c>
      <c r="E42">
        <v>0.9</v>
      </c>
      <c r="F42">
        <v>3.19</v>
      </c>
      <c r="G42">
        <v>2.4300000000000002</v>
      </c>
      <c r="H42">
        <v>2.4300000000000002</v>
      </c>
      <c r="I42">
        <v>3.19</v>
      </c>
      <c r="J42">
        <v>0.27</v>
      </c>
      <c r="K42">
        <v>0.76</v>
      </c>
      <c r="N42" s="5" t="str">
        <f t="shared" si="0"/>
        <v>40 0.9</v>
      </c>
      <c r="P42" s="5">
        <f t="shared" si="1"/>
        <v>26.999999999999986</v>
      </c>
      <c r="Q42" s="5">
        <f t="shared" si="2"/>
        <v>27.279999999999994</v>
      </c>
    </row>
    <row r="43" spans="1:17" x14ac:dyDescent="0.3">
      <c r="A43" s="5">
        <v>41</v>
      </c>
      <c r="B43" s="5">
        <v>42</v>
      </c>
      <c r="C43">
        <v>41</v>
      </c>
      <c r="D43">
        <v>0.7</v>
      </c>
      <c r="E43">
        <v>0.91</v>
      </c>
      <c r="F43">
        <v>3.34</v>
      </c>
      <c r="G43">
        <v>2.57</v>
      </c>
      <c r="H43">
        <v>2.57</v>
      </c>
      <c r="I43">
        <v>3.34</v>
      </c>
      <c r="J43">
        <v>0.34</v>
      </c>
      <c r="K43">
        <v>0.77</v>
      </c>
      <c r="N43" s="5" t="str">
        <f t="shared" si="0"/>
        <v>41 0.91</v>
      </c>
      <c r="P43" s="5">
        <f t="shared" si="1"/>
        <v>27.699999999999985</v>
      </c>
      <c r="Q43" s="5">
        <f t="shared" si="2"/>
        <v>28.049999999999994</v>
      </c>
    </row>
    <row r="44" spans="1:17" x14ac:dyDescent="0.3">
      <c r="A44" s="5">
        <v>42</v>
      </c>
      <c r="B44" s="5">
        <v>43</v>
      </c>
      <c r="C44">
        <v>42</v>
      </c>
      <c r="D44">
        <v>0.7</v>
      </c>
      <c r="E44">
        <v>0.91</v>
      </c>
      <c r="F44">
        <v>3.48</v>
      </c>
      <c r="G44">
        <v>2.7</v>
      </c>
      <c r="H44">
        <v>2.7</v>
      </c>
      <c r="I44">
        <v>3.48</v>
      </c>
      <c r="J44">
        <v>0.42</v>
      </c>
      <c r="K44">
        <v>0.78</v>
      </c>
      <c r="N44" s="5" t="str">
        <f t="shared" si="0"/>
        <v>42 0.91</v>
      </c>
      <c r="P44" s="5">
        <f t="shared" si="1"/>
        <v>28.399999999999984</v>
      </c>
      <c r="Q44" s="5">
        <f t="shared" si="2"/>
        <v>28.829999999999995</v>
      </c>
    </row>
    <row r="45" spans="1:17" x14ac:dyDescent="0.3">
      <c r="A45" s="5">
        <v>43</v>
      </c>
      <c r="B45" s="5">
        <v>44</v>
      </c>
      <c r="C45">
        <v>43</v>
      </c>
      <c r="D45">
        <v>0.7</v>
      </c>
      <c r="E45">
        <v>0.91</v>
      </c>
      <c r="F45">
        <v>3.62</v>
      </c>
      <c r="G45">
        <v>2.83</v>
      </c>
      <c r="H45">
        <v>2.83</v>
      </c>
      <c r="I45">
        <v>3.62</v>
      </c>
      <c r="J45">
        <v>0.5</v>
      </c>
      <c r="K45">
        <v>0.78</v>
      </c>
      <c r="N45" s="5" t="str">
        <f t="shared" si="0"/>
        <v>43 0.91</v>
      </c>
      <c r="P45" s="5">
        <f t="shared" si="1"/>
        <v>29.099999999999984</v>
      </c>
      <c r="Q45" s="5">
        <f t="shared" si="2"/>
        <v>29.609999999999996</v>
      </c>
    </row>
    <row r="46" spans="1:17" x14ac:dyDescent="0.3">
      <c r="A46" s="5">
        <v>44</v>
      </c>
      <c r="B46" s="5">
        <v>45</v>
      </c>
      <c r="C46">
        <v>44</v>
      </c>
      <c r="D46">
        <v>0.7</v>
      </c>
      <c r="E46">
        <v>0.92</v>
      </c>
      <c r="F46">
        <v>3.75</v>
      </c>
      <c r="G46">
        <v>2.96</v>
      </c>
      <c r="H46">
        <v>2.96</v>
      </c>
      <c r="I46">
        <v>3.75</v>
      </c>
      <c r="J46">
        <v>0.59</v>
      </c>
      <c r="K46">
        <v>0.79</v>
      </c>
      <c r="N46" s="5" t="str">
        <f t="shared" si="0"/>
        <v>44 0.92</v>
      </c>
      <c r="P46" s="5">
        <f t="shared" si="1"/>
        <v>29.799999999999983</v>
      </c>
      <c r="Q46" s="5">
        <f t="shared" si="2"/>
        <v>30.399999999999995</v>
      </c>
    </row>
    <row r="47" spans="1:17" x14ac:dyDescent="0.3">
      <c r="A47" s="5">
        <v>45</v>
      </c>
      <c r="B47" s="5">
        <v>46</v>
      </c>
      <c r="C47">
        <v>45</v>
      </c>
      <c r="D47">
        <v>0.7</v>
      </c>
      <c r="E47">
        <v>0.78</v>
      </c>
      <c r="F47">
        <v>3.74</v>
      </c>
      <c r="G47">
        <v>2.95</v>
      </c>
      <c r="H47">
        <v>2.95</v>
      </c>
      <c r="I47">
        <v>3.74</v>
      </c>
      <c r="J47">
        <v>0.68</v>
      </c>
      <c r="K47">
        <v>0.79</v>
      </c>
      <c r="N47" s="5" t="str">
        <f t="shared" si="0"/>
        <v>45 0.78</v>
      </c>
      <c r="P47" s="5">
        <f t="shared" si="1"/>
        <v>30.499999999999982</v>
      </c>
      <c r="Q47" s="5">
        <f t="shared" si="2"/>
        <v>31.189999999999994</v>
      </c>
    </row>
    <row r="48" spans="1:17" x14ac:dyDescent="0.3">
      <c r="A48" s="5">
        <v>46</v>
      </c>
      <c r="B48" s="5">
        <v>47</v>
      </c>
      <c r="C48">
        <v>46</v>
      </c>
      <c r="D48">
        <v>0.7</v>
      </c>
      <c r="E48">
        <v>0</v>
      </c>
      <c r="F48">
        <v>2.95</v>
      </c>
      <c r="G48">
        <v>2.2000000000000002</v>
      </c>
      <c r="H48">
        <v>2.2000000000000002</v>
      </c>
      <c r="I48">
        <v>2.95</v>
      </c>
      <c r="J48">
        <v>0.73</v>
      </c>
      <c r="K48">
        <v>0.75</v>
      </c>
      <c r="N48" s="5" t="str">
        <f t="shared" si="0"/>
        <v>46 0</v>
      </c>
      <c r="P48" s="5">
        <f t="shared" si="1"/>
        <v>31.199999999999982</v>
      </c>
      <c r="Q48" s="5">
        <f t="shared" si="2"/>
        <v>31.939999999999994</v>
      </c>
    </row>
    <row r="49" spans="1:17" x14ac:dyDescent="0.3">
      <c r="A49" s="5">
        <v>47</v>
      </c>
      <c r="B49" s="5">
        <v>48</v>
      </c>
      <c r="C49">
        <v>47</v>
      </c>
      <c r="D49">
        <v>0.7</v>
      </c>
      <c r="E49">
        <v>0</v>
      </c>
      <c r="F49">
        <v>2.2000000000000002</v>
      </c>
      <c r="G49">
        <v>1.52</v>
      </c>
      <c r="H49">
        <v>1.52</v>
      </c>
      <c r="I49">
        <v>2.2000000000000002</v>
      </c>
      <c r="J49">
        <v>0.72</v>
      </c>
      <c r="K49">
        <v>0.69</v>
      </c>
      <c r="N49" s="5" t="str">
        <f t="shared" si="0"/>
        <v>47 0</v>
      </c>
      <c r="P49" s="5">
        <f t="shared" si="1"/>
        <v>31.899999999999981</v>
      </c>
      <c r="Q49" s="5">
        <f t="shared" si="2"/>
        <v>32.629999999999995</v>
      </c>
    </row>
    <row r="50" spans="1:17" x14ac:dyDescent="0.3">
      <c r="A50" s="5">
        <v>48</v>
      </c>
      <c r="B50" s="5">
        <v>49</v>
      </c>
      <c r="C50">
        <v>48</v>
      </c>
      <c r="D50">
        <v>0.7</v>
      </c>
      <c r="E50">
        <v>0</v>
      </c>
      <c r="F50">
        <v>1.52</v>
      </c>
      <c r="G50">
        <v>0.91</v>
      </c>
      <c r="H50">
        <v>0.91</v>
      </c>
      <c r="I50">
        <v>1.52</v>
      </c>
      <c r="J50">
        <v>0.62</v>
      </c>
      <c r="K50">
        <v>0.6</v>
      </c>
      <c r="N50" s="5" t="str">
        <f t="shared" si="0"/>
        <v>48 0</v>
      </c>
      <c r="P50" s="5">
        <f t="shared" si="1"/>
        <v>32.59999999999998</v>
      </c>
      <c r="Q50" s="5">
        <f t="shared" si="2"/>
        <v>33.229999999999997</v>
      </c>
    </row>
    <row r="51" spans="1:17" x14ac:dyDescent="0.3">
      <c r="A51" s="5">
        <v>49</v>
      </c>
      <c r="B51" s="5">
        <v>50</v>
      </c>
      <c r="C51">
        <v>49</v>
      </c>
      <c r="D51">
        <v>0.7</v>
      </c>
      <c r="E51">
        <v>0</v>
      </c>
      <c r="F51">
        <v>0.91</v>
      </c>
      <c r="G51">
        <v>0.44</v>
      </c>
      <c r="H51">
        <v>0.44</v>
      </c>
      <c r="I51">
        <v>0.91</v>
      </c>
      <c r="J51">
        <v>0.4</v>
      </c>
      <c r="K51">
        <v>0.48</v>
      </c>
      <c r="N51" s="5" t="str">
        <f t="shared" si="0"/>
        <v>49 0</v>
      </c>
      <c r="P51" s="5">
        <f t="shared" si="1"/>
        <v>33.299999999999983</v>
      </c>
      <c r="Q51" s="5">
        <f t="shared" si="2"/>
        <v>33.709999999999994</v>
      </c>
    </row>
    <row r="52" spans="1:17" x14ac:dyDescent="0.3">
      <c r="A52" s="5">
        <v>50</v>
      </c>
      <c r="B52" s="5">
        <v>51</v>
      </c>
      <c r="C52">
        <v>50</v>
      </c>
      <c r="D52">
        <v>0.7</v>
      </c>
      <c r="E52">
        <v>0</v>
      </c>
      <c r="F52">
        <v>0.44</v>
      </c>
      <c r="G52">
        <v>0.13</v>
      </c>
      <c r="H52">
        <v>0.13</v>
      </c>
      <c r="I52">
        <v>0.44</v>
      </c>
      <c r="J52">
        <v>0</v>
      </c>
      <c r="K52">
        <v>0.3</v>
      </c>
      <c r="N52" s="5" t="str">
        <f t="shared" si="0"/>
        <v>50 0</v>
      </c>
      <c r="P52" s="5">
        <f t="shared" si="1"/>
        <v>33.999999999999986</v>
      </c>
      <c r="Q52" s="5">
        <f t="shared" si="2"/>
        <v>34.009999999999991</v>
      </c>
    </row>
    <row r="53" spans="1:17" x14ac:dyDescent="0.3">
      <c r="A53" s="5">
        <v>51</v>
      </c>
      <c r="B53" s="5">
        <v>52</v>
      </c>
      <c r="C53">
        <v>51</v>
      </c>
      <c r="D53">
        <v>0</v>
      </c>
      <c r="E53">
        <v>0</v>
      </c>
      <c r="F53">
        <v>0.13</v>
      </c>
      <c r="G53">
        <v>0.02</v>
      </c>
      <c r="H53">
        <v>0.02</v>
      </c>
      <c r="I53">
        <v>0.13</v>
      </c>
      <c r="J53">
        <v>0.12</v>
      </c>
      <c r="K53">
        <v>0.12</v>
      </c>
      <c r="N53" s="5" t="str">
        <f t="shared" si="0"/>
        <v>51 0</v>
      </c>
      <c r="P53" s="5">
        <f t="shared" si="1"/>
        <v>33.999999999999986</v>
      </c>
      <c r="Q53" s="5">
        <f t="shared" si="2"/>
        <v>34.129999999999988</v>
      </c>
    </row>
    <row r="54" spans="1:17" x14ac:dyDescent="0.3">
      <c r="A54" s="5">
        <v>52</v>
      </c>
      <c r="B54" s="5">
        <v>53</v>
      </c>
      <c r="C54">
        <v>52</v>
      </c>
      <c r="D54">
        <v>0</v>
      </c>
      <c r="E54">
        <v>0</v>
      </c>
      <c r="F54">
        <v>0.02</v>
      </c>
      <c r="G54">
        <v>0</v>
      </c>
      <c r="H54">
        <v>0</v>
      </c>
      <c r="I54">
        <v>0.02</v>
      </c>
      <c r="J54">
        <v>0.13</v>
      </c>
      <c r="K54">
        <v>0.02</v>
      </c>
      <c r="N54" s="5" t="str">
        <f t="shared" si="0"/>
        <v>52 0</v>
      </c>
      <c r="P54" s="5">
        <f t="shared" si="1"/>
        <v>33.999999999999986</v>
      </c>
      <c r="Q54" s="5">
        <f t="shared" si="2"/>
        <v>34.149999999999991</v>
      </c>
    </row>
    <row r="55" spans="1:17" x14ac:dyDescent="0.3">
      <c r="A55" s="5">
        <v>53</v>
      </c>
      <c r="B55" s="5">
        <v>54</v>
      </c>
      <c r="C55">
        <v>53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0.13</v>
      </c>
      <c r="K55">
        <v>0</v>
      </c>
      <c r="N55" s="5" t="str">
        <f t="shared" si="0"/>
        <v>53 0</v>
      </c>
      <c r="P55" s="5">
        <f t="shared" si="1"/>
        <v>33.999999999999986</v>
      </c>
      <c r="Q55" s="5">
        <f t="shared" si="2"/>
        <v>34.149999999999991</v>
      </c>
    </row>
    <row r="56" spans="1:17" x14ac:dyDescent="0.3">
      <c r="A56" s="5">
        <v>54</v>
      </c>
      <c r="B56" s="5">
        <v>55</v>
      </c>
      <c r="C56">
        <v>54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0.13</v>
      </c>
      <c r="K56">
        <v>0</v>
      </c>
      <c r="N56" s="5" t="str">
        <f t="shared" si="0"/>
        <v>54 0</v>
      </c>
      <c r="P56" s="5">
        <f t="shared" si="1"/>
        <v>33.999999999999986</v>
      </c>
      <c r="Q56" s="5">
        <f t="shared" si="2"/>
        <v>34.149999999999991</v>
      </c>
    </row>
    <row r="57" spans="1:17" x14ac:dyDescent="0.3">
      <c r="A57" s="5">
        <v>55</v>
      </c>
      <c r="B57" s="5">
        <v>56</v>
      </c>
      <c r="C57">
        <v>55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0.13</v>
      </c>
      <c r="K57">
        <v>0</v>
      </c>
      <c r="N57" s="5" t="str">
        <f t="shared" si="0"/>
        <v>55 0</v>
      </c>
      <c r="P57" s="5">
        <f t="shared" si="1"/>
        <v>33.999999999999986</v>
      </c>
      <c r="Q57" s="5">
        <f t="shared" si="2"/>
        <v>34.149999999999991</v>
      </c>
    </row>
    <row r="58" spans="1:17" x14ac:dyDescent="0.3">
      <c r="A58" s="5">
        <v>56</v>
      </c>
      <c r="B58" s="5">
        <v>57</v>
      </c>
      <c r="C58">
        <v>56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0.13</v>
      </c>
      <c r="K58">
        <v>0</v>
      </c>
      <c r="N58" s="5" t="str">
        <f t="shared" si="0"/>
        <v>56 0</v>
      </c>
      <c r="P58" s="5">
        <f t="shared" si="1"/>
        <v>33.999999999999986</v>
      </c>
      <c r="Q58" s="5">
        <f t="shared" si="2"/>
        <v>34.149999999999991</v>
      </c>
    </row>
    <row r="59" spans="1:17" x14ac:dyDescent="0.3">
      <c r="A59" s="5">
        <v>57</v>
      </c>
      <c r="B59" s="5">
        <v>58</v>
      </c>
      <c r="C59">
        <v>57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0.13</v>
      </c>
      <c r="K59">
        <v>0</v>
      </c>
      <c r="N59" s="5" t="str">
        <f t="shared" si="0"/>
        <v>57 0</v>
      </c>
      <c r="P59" s="5">
        <f t="shared" si="1"/>
        <v>33.999999999999986</v>
      </c>
      <c r="Q59" s="5">
        <f t="shared" si="2"/>
        <v>34.149999999999991</v>
      </c>
    </row>
    <row r="60" spans="1:17" x14ac:dyDescent="0.3">
      <c r="A60" s="5">
        <v>58</v>
      </c>
      <c r="B60" s="5">
        <v>59</v>
      </c>
      <c r="C60">
        <v>58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0.13</v>
      </c>
      <c r="K60">
        <v>0</v>
      </c>
      <c r="N60" s="5" t="str">
        <f t="shared" si="0"/>
        <v>58 0</v>
      </c>
      <c r="P60" s="5">
        <f t="shared" si="1"/>
        <v>33.999999999999986</v>
      </c>
      <c r="Q60" s="5">
        <f t="shared" si="2"/>
        <v>34.149999999999991</v>
      </c>
    </row>
    <row r="61" spans="1:17" x14ac:dyDescent="0.3">
      <c r="A61" s="5">
        <v>59</v>
      </c>
      <c r="B61" s="5">
        <v>60</v>
      </c>
      <c r="C61">
        <v>59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0.13</v>
      </c>
      <c r="K61">
        <v>0</v>
      </c>
      <c r="N61" s="5" t="str">
        <f t="shared" si="0"/>
        <v>59 0</v>
      </c>
      <c r="P61" s="5">
        <f t="shared" si="1"/>
        <v>33.999999999999986</v>
      </c>
      <c r="Q61" s="5">
        <f t="shared" si="2"/>
        <v>34.149999999999991</v>
      </c>
    </row>
    <row r="62" spans="1:17" x14ac:dyDescent="0.3">
      <c r="A62" s="5">
        <v>60</v>
      </c>
      <c r="B62" s="5">
        <v>61</v>
      </c>
      <c r="C62">
        <v>60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0.13</v>
      </c>
      <c r="K62">
        <v>0</v>
      </c>
      <c r="N62" s="5" t="str">
        <f t="shared" si="0"/>
        <v>60 0</v>
      </c>
      <c r="P62" s="5">
        <f t="shared" si="1"/>
        <v>33.999999999999986</v>
      </c>
      <c r="Q62" s="5">
        <f t="shared" si="2"/>
        <v>34.149999999999991</v>
      </c>
    </row>
    <row r="63" spans="1:17" x14ac:dyDescent="0.3">
      <c r="A63" s="5">
        <v>61</v>
      </c>
      <c r="B63" s="5">
        <v>62</v>
      </c>
      <c r="C63">
        <v>61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0.13</v>
      </c>
      <c r="K63">
        <v>0</v>
      </c>
      <c r="N63" s="5" t="str">
        <f t="shared" si="0"/>
        <v>61 0</v>
      </c>
      <c r="P63" s="5">
        <f t="shared" si="1"/>
        <v>33.999999999999986</v>
      </c>
      <c r="Q63" s="5">
        <f t="shared" si="2"/>
        <v>34.149999999999991</v>
      </c>
    </row>
    <row r="64" spans="1:17" x14ac:dyDescent="0.3">
      <c r="A64" s="5">
        <v>62</v>
      </c>
      <c r="B64" s="5">
        <v>63</v>
      </c>
      <c r="C64">
        <v>62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0.13</v>
      </c>
      <c r="K64">
        <v>0</v>
      </c>
      <c r="N64" s="5" t="str">
        <f t="shared" si="0"/>
        <v>62 0</v>
      </c>
      <c r="P64" s="5">
        <f t="shared" si="1"/>
        <v>33.999999999999986</v>
      </c>
      <c r="Q64" s="5">
        <f t="shared" si="2"/>
        <v>34.149999999999991</v>
      </c>
    </row>
    <row r="65" spans="1:17" x14ac:dyDescent="0.3">
      <c r="A65" s="5">
        <v>63</v>
      </c>
      <c r="B65" s="5">
        <v>64</v>
      </c>
      <c r="C65">
        <v>63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0.13</v>
      </c>
      <c r="K65">
        <v>0</v>
      </c>
      <c r="N65" s="5" t="str">
        <f t="shared" si="0"/>
        <v>63 0</v>
      </c>
      <c r="P65" s="5">
        <f t="shared" si="1"/>
        <v>33.999999999999986</v>
      </c>
      <c r="Q65" s="5">
        <f t="shared" si="2"/>
        <v>34.149999999999991</v>
      </c>
    </row>
    <row r="66" spans="1:17" x14ac:dyDescent="0.3">
      <c r="A66" s="5">
        <v>64</v>
      </c>
      <c r="B66" s="5">
        <v>65</v>
      </c>
      <c r="C66">
        <v>64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0.13</v>
      </c>
      <c r="K66">
        <v>0</v>
      </c>
      <c r="N66" s="5" t="str">
        <f t="shared" si="0"/>
        <v>64 0</v>
      </c>
      <c r="P66" s="5">
        <f t="shared" si="1"/>
        <v>33.999999999999986</v>
      </c>
      <c r="Q66" s="5">
        <f t="shared" si="2"/>
        <v>34.149999999999991</v>
      </c>
    </row>
    <row r="67" spans="1:17" x14ac:dyDescent="0.3">
      <c r="A67" s="5">
        <v>65</v>
      </c>
      <c r="B67" s="5">
        <v>66</v>
      </c>
      <c r="C67">
        <v>65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0.13</v>
      </c>
      <c r="K67">
        <v>0</v>
      </c>
      <c r="N67" s="5" t="str">
        <f t="shared" ref="N67:N102" si="3">C67&amp;" "&amp;E67</f>
        <v>65 0</v>
      </c>
      <c r="P67" s="5">
        <f t="shared" si="1"/>
        <v>33.999999999999986</v>
      </c>
      <c r="Q67" s="5">
        <f t="shared" si="2"/>
        <v>34.149999999999991</v>
      </c>
    </row>
    <row r="68" spans="1:17" x14ac:dyDescent="0.3">
      <c r="A68" s="5">
        <v>66</v>
      </c>
      <c r="B68" s="5">
        <v>67</v>
      </c>
      <c r="C68">
        <v>66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0.13</v>
      </c>
      <c r="K68">
        <v>0</v>
      </c>
      <c r="N68" s="5" t="str">
        <f t="shared" si="3"/>
        <v>66 0</v>
      </c>
      <c r="P68" s="5">
        <f t="shared" ref="P68:P102" si="4">P67+D68</f>
        <v>33.999999999999986</v>
      </c>
      <c r="Q68" s="5">
        <f t="shared" ref="Q68:Q102" si="5">Q67+K68</f>
        <v>34.149999999999991</v>
      </c>
    </row>
    <row r="69" spans="1:17" x14ac:dyDescent="0.3">
      <c r="A69" s="5">
        <v>67</v>
      </c>
      <c r="B69" s="5">
        <v>68</v>
      </c>
      <c r="C69">
        <v>67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0.13</v>
      </c>
      <c r="K69">
        <v>0</v>
      </c>
      <c r="N69" s="5" t="str">
        <f t="shared" si="3"/>
        <v>67 0</v>
      </c>
      <c r="P69" s="5">
        <f t="shared" si="4"/>
        <v>33.999999999999986</v>
      </c>
      <c r="Q69" s="5">
        <f t="shared" si="5"/>
        <v>34.149999999999991</v>
      </c>
    </row>
    <row r="70" spans="1:17" x14ac:dyDescent="0.3">
      <c r="A70" s="5">
        <v>68</v>
      </c>
      <c r="B70" s="5">
        <v>69</v>
      </c>
      <c r="C70">
        <v>68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0.13</v>
      </c>
      <c r="K70">
        <v>0</v>
      </c>
      <c r="N70" s="5" t="str">
        <f t="shared" si="3"/>
        <v>68 0</v>
      </c>
      <c r="P70" s="5">
        <f t="shared" si="4"/>
        <v>33.999999999999986</v>
      </c>
      <c r="Q70" s="5">
        <f t="shared" si="5"/>
        <v>34.149999999999991</v>
      </c>
    </row>
    <row r="71" spans="1:17" x14ac:dyDescent="0.3">
      <c r="A71" s="5">
        <v>69</v>
      </c>
      <c r="B71" s="5">
        <v>70</v>
      </c>
      <c r="C71">
        <v>69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0.13</v>
      </c>
      <c r="K71">
        <v>0</v>
      </c>
      <c r="N71" s="5" t="str">
        <f t="shared" si="3"/>
        <v>69 0</v>
      </c>
      <c r="P71" s="5">
        <f t="shared" si="4"/>
        <v>33.999999999999986</v>
      </c>
      <c r="Q71" s="5">
        <f t="shared" si="5"/>
        <v>34.149999999999991</v>
      </c>
    </row>
    <row r="72" spans="1:17" x14ac:dyDescent="0.3">
      <c r="A72" s="5">
        <v>70</v>
      </c>
      <c r="B72" s="5">
        <v>71</v>
      </c>
      <c r="C72">
        <v>70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0.13</v>
      </c>
      <c r="K72">
        <v>0</v>
      </c>
      <c r="N72" s="5" t="str">
        <f t="shared" si="3"/>
        <v>70 0</v>
      </c>
      <c r="P72" s="5">
        <f t="shared" si="4"/>
        <v>33.999999999999986</v>
      </c>
      <c r="Q72" s="5">
        <f t="shared" si="5"/>
        <v>34.149999999999991</v>
      </c>
    </row>
    <row r="73" spans="1:17" x14ac:dyDescent="0.3">
      <c r="A73" s="5">
        <v>71</v>
      </c>
      <c r="B73" s="5">
        <v>72</v>
      </c>
      <c r="C73">
        <v>71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0.13</v>
      </c>
      <c r="K73">
        <v>0</v>
      </c>
      <c r="N73" s="5" t="str">
        <f t="shared" si="3"/>
        <v>71 0</v>
      </c>
      <c r="P73" s="5">
        <f t="shared" si="4"/>
        <v>33.999999999999986</v>
      </c>
      <c r="Q73" s="5">
        <f t="shared" si="5"/>
        <v>34.149999999999991</v>
      </c>
    </row>
    <row r="74" spans="1:17" x14ac:dyDescent="0.3">
      <c r="A74" s="5">
        <v>72</v>
      </c>
      <c r="B74" s="5">
        <v>73</v>
      </c>
      <c r="C74">
        <v>72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0.13</v>
      </c>
      <c r="K74">
        <v>0</v>
      </c>
      <c r="N74" s="5" t="str">
        <f t="shared" si="3"/>
        <v>72 0</v>
      </c>
      <c r="P74" s="5">
        <f t="shared" si="4"/>
        <v>33.999999999999986</v>
      </c>
      <c r="Q74" s="5">
        <f t="shared" si="5"/>
        <v>34.149999999999991</v>
      </c>
    </row>
    <row r="75" spans="1:17" x14ac:dyDescent="0.3">
      <c r="A75" s="5">
        <v>73</v>
      </c>
      <c r="B75" s="5">
        <v>74</v>
      </c>
      <c r="C75">
        <v>73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0.13</v>
      </c>
      <c r="K75">
        <v>0</v>
      </c>
      <c r="N75" s="5" t="str">
        <f t="shared" si="3"/>
        <v>73 0</v>
      </c>
      <c r="P75" s="5">
        <f t="shared" si="4"/>
        <v>33.999999999999986</v>
      </c>
      <c r="Q75" s="5">
        <f t="shared" si="5"/>
        <v>34.149999999999991</v>
      </c>
    </row>
    <row r="76" spans="1:17" x14ac:dyDescent="0.3">
      <c r="A76" s="5">
        <v>74</v>
      </c>
      <c r="B76" s="5">
        <v>75</v>
      </c>
      <c r="C76">
        <v>74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0.13</v>
      </c>
      <c r="K76">
        <v>0</v>
      </c>
      <c r="N76" s="5" t="str">
        <f t="shared" si="3"/>
        <v>74 0</v>
      </c>
      <c r="P76" s="5">
        <f t="shared" si="4"/>
        <v>33.999999999999986</v>
      </c>
      <c r="Q76" s="5">
        <f t="shared" si="5"/>
        <v>34.149999999999991</v>
      </c>
    </row>
    <row r="77" spans="1:17" x14ac:dyDescent="0.3">
      <c r="A77" s="5">
        <v>75</v>
      </c>
      <c r="B77" s="5">
        <v>76</v>
      </c>
      <c r="C77">
        <v>75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0.13</v>
      </c>
      <c r="K77">
        <v>0</v>
      </c>
      <c r="N77" s="5" t="str">
        <f t="shared" si="3"/>
        <v>75 0</v>
      </c>
      <c r="P77" s="5">
        <f t="shared" si="4"/>
        <v>33.999999999999986</v>
      </c>
      <c r="Q77" s="5">
        <f t="shared" si="5"/>
        <v>34.149999999999991</v>
      </c>
    </row>
    <row r="78" spans="1:17" x14ac:dyDescent="0.3">
      <c r="A78" s="5">
        <v>76</v>
      </c>
      <c r="B78" s="5">
        <v>77</v>
      </c>
      <c r="C78">
        <v>76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0.13</v>
      </c>
      <c r="K78">
        <v>0</v>
      </c>
      <c r="N78" s="5" t="str">
        <f t="shared" si="3"/>
        <v>76 0</v>
      </c>
      <c r="P78" s="5">
        <f t="shared" si="4"/>
        <v>33.999999999999986</v>
      </c>
      <c r="Q78" s="5">
        <f t="shared" si="5"/>
        <v>34.149999999999991</v>
      </c>
    </row>
    <row r="79" spans="1:17" x14ac:dyDescent="0.3">
      <c r="A79" s="5">
        <v>77</v>
      </c>
      <c r="B79" s="5">
        <v>78</v>
      </c>
      <c r="C79">
        <v>77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0.13</v>
      </c>
      <c r="K79">
        <v>0</v>
      </c>
      <c r="N79" s="5" t="str">
        <f t="shared" si="3"/>
        <v>77 0</v>
      </c>
      <c r="P79" s="5">
        <f t="shared" si="4"/>
        <v>33.999999999999986</v>
      </c>
      <c r="Q79" s="5">
        <f t="shared" si="5"/>
        <v>34.149999999999991</v>
      </c>
    </row>
    <row r="80" spans="1:17" x14ac:dyDescent="0.3">
      <c r="A80" s="5">
        <v>78</v>
      </c>
      <c r="B80" s="5">
        <v>79</v>
      </c>
      <c r="C80">
        <v>78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0.13</v>
      </c>
      <c r="K80">
        <v>0</v>
      </c>
      <c r="N80" s="5" t="str">
        <f t="shared" si="3"/>
        <v>78 0</v>
      </c>
      <c r="P80" s="5">
        <f t="shared" si="4"/>
        <v>33.999999999999986</v>
      </c>
      <c r="Q80" s="5">
        <f t="shared" si="5"/>
        <v>34.149999999999991</v>
      </c>
    </row>
    <row r="81" spans="1:17" x14ac:dyDescent="0.3">
      <c r="A81" s="5">
        <v>79</v>
      </c>
      <c r="B81" s="5">
        <v>80</v>
      </c>
      <c r="C81">
        <v>79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0.13</v>
      </c>
      <c r="K81">
        <v>0</v>
      </c>
      <c r="N81" s="5" t="str">
        <f t="shared" si="3"/>
        <v>79 0</v>
      </c>
      <c r="P81" s="5">
        <f t="shared" si="4"/>
        <v>33.999999999999986</v>
      </c>
      <c r="Q81" s="5">
        <f t="shared" si="5"/>
        <v>34.149999999999991</v>
      </c>
    </row>
    <row r="82" spans="1:17" x14ac:dyDescent="0.3">
      <c r="A82" s="5">
        <v>80</v>
      </c>
      <c r="B82" s="5">
        <v>81</v>
      </c>
      <c r="C82">
        <v>80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0.13</v>
      </c>
      <c r="K82">
        <v>0</v>
      </c>
      <c r="N82" s="5" t="str">
        <f t="shared" si="3"/>
        <v>80 0</v>
      </c>
      <c r="P82" s="5">
        <f t="shared" si="4"/>
        <v>33.999999999999986</v>
      </c>
      <c r="Q82" s="5">
        <f t="shared" si="5"/>
        <v>34.149999999999991</v>
      </c>
    </row>
    <row r="83" spans="1:17" x14ac:dyDescent="0.3">
      <c r="A83" s="5">
        <v>81</v>
      </c>
      <c r="B83" s="5">
        <v>82</v>
      </c>
      <c r="C83">
        <v>81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0.13</v>
      </c>
      <c r="K83">
        <v>0</v>
      </c>
      <c r="N83" s="5" t="str">
        <f t="shared" si="3"/>
        <v>81 0</v>
      </c>
      <c r="P83" s="5">
        <f t="shared" si="4"/>
        <v>33.999999999999986</v>
      </c>
      <c r="Q83" s="5">
        <f t="shared" si="5"/>
        <v>34.149999999999991</v>
      </c>
    </row>
    <row r="84" spans="1:17" x14ac:dyDescent="0.3">
      <c r="A84" s="5">
        <v>82</v>
      </c>
      <c r="B84" s="5">
        <v>83</v>
      </c>
      <c r="C84">
        <v>82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0.13</v>
      </c>
      <c r="K84">
        <v>0</v>
      </c>
      <c r="N84" s="5" t="str">
        <f t="shared" si="3"/>
        <v>82 0</v>
      </c>
      <c r="P84" s="5">
        <f t="shared" si="4"/>
        <v>33.999999999999986</v>
      </c>
      <c r="Q84" s="5">
        <f t="shared" si="5"/>
        <v>34.149999999999991</v>
      </c>
    </row>
    <row r="85" spans="1:17" x14ac:dyDescent="0.3">
      <c r="A85" s="5">
        <v>83</v>
      </c>
      <c r="B85" s="5">
        <v>84</v>
      </c>
      <c r="C85">
        <v>83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0.13</v>
      </c>
      <c r="K85">
        <v>0</v>
      </c>
      <c r="N85" s="5" t="str">
        <f t="shared" si="3"/>
        <v>83 0</v>
      </c>
      <c r="P85" s="5">
        <f t="shared" si="4"/>
        <v>33.999999999999986</v>
      </c>
      <c r="Q85" s="5">
        <f t="shared" si="5"/>
        <v>34.149999999999991</v>
      </c>
    </row>
    <row r="86" spans="1:17" x14ac:dyDescent="0.3">
      <c r="A86" s="5">
        <v>84</v>
      </c>
      <c r="B86" s="5">
        <v>85</v>
      </c>
      <c r="C86">
        <v>84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0.13</v>
      </c>
      <c r="K86">
        <v>0</v>
      </c>
      <c r="N86" s="5" t="str">
        <f t="shared" si="3"/>
        <v>84 0</v>
      </c>
      <c r="P86" s="5">
        <f t="shared" si="4"/>
        <v>33.999999999999986</v>
      </c>
      <c r="Q86" s="5">
        <f t="shared" si="5"/>
        <v>34.149999999999991</v>
      </c>
    </row>
    <row r="87" spans="1:17" x14ac:dyDescent="0.3">
      <c r="A87" s="5">
        <v>85</v>
      </c>
      <c r="B87" s="5">
        <v>86</v>
      </c>
      <c r="C87">
        <v>85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0.13</v>
      </c>
      <c r="K87">
        <v>0</v>
      </c>
      <c r="N87" s="5" t="str">
        <f t="shared" si="3"/>
        <v>85 0</v>
      </c>
      <c r="P87" s="5">
        <f t="shared" si="4"/>
        <v>33.999999999999986</v>
      </c>
      <c r="Q87" s="5">
        <f t="shared" si="5"/>
        <v>34.149999999999991</v>
      </c>
    </row>
    <row r="88" spans="1:17" x14ac:dyDescent="0.3">
      <c r="A88" s="5">
        <v>86</v>
      </c>
      <c r="B88" s="5">
        <v>87</v>
      </c>
      <c r="C88">
        <v>86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0.13</v>
      </c>
      <c r="K88">
        <v>0</v>
      </c>
      <c r="N88" s="5" t="str">
        <f t="shared" si="3"/>
        <v>86 0</v>
      </c>
      <c r="P88" s="5">
        <f t="shared" si="4"/>
        <v>33.999999999999986</v>
      </c>
      <c r="Q88" s="5">
        <f t="shared" si="5"/>
        <v>34.149999999999991</v>
      </c>
    </row>
    <row r="89" spans="1:17" x14ac:dyDescent="0.3">
      <c r="A89" s="5">
        <v>87</v>
      </c>
      <c r="B89" s="5">
        <v>88</v>
      </c>
      <c r="C89">
        <v>87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0.13</v>
      </c>
      <c r="K89">
        <v>0</v>
      </c>
      <c r="N89" s="5" t="str">
        <f t="shared" si="3"/>
        <v>87 0</v>
      </c>
      <c r="P89" s="5">
        <f t="shared" si="4"/>
        <v>33.999999999999986</v>
      </c>
      <c r="Q89" s="5">
        <f t="shared" si="5"/>
        <v>34.149999999999991</v>
      </c>
    </row>
    <row r="90" spans="1:17" x14ac:dyDescent="0.3">
      <c r="A90" s="5">
        <v>88</v>
      </c>
      <c r="B90" s="5">
        <v>89</v>
      </c>
      <c r="C90">
        <v>88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0.13</v>
      </c>
      <c r="K90">
        <v>0</v>
      </c>
      <c r="N90" s="5" t="str">
        <f t="shared" si="3"/>
        <v>88 0</v>
      </c>
      <c r="P90" s="5">
        <f t="shared" si="4"/>
        <v>33.999999999999986</v>
      </c>
      <c r="Q90" s="5">
        <f t="shared" si="5"/>
        <v>34.149999999999991</v>
      </c>
    </row>
    <row r="91" spans="1:17" x14ac:dyDescent="0.3">
      <c r="A91" s="5">
        <v>89</v>
      </c>
      <c r="B91" s="5">
        <v>90</v>
      </c>
      <c r="C91">
        <v>89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0.13</v>
      </c>
      <c r="K91">
        <v>0</v>
      </c>
      <c r="N91" s="5" t="str">
        <f t="shared" si="3"/>
        <v>89 0</v>
      </c>
      <c r="P91" s="5">
        <f t="shared" si="4"/>
        <v>33.999999999999986</v>
      </c>
      <c r="Q91" s="5">
        <f t="shared" si="5"/>
        <v>34.149999999999991</v>
      </c>
    </row>
    <row r="92" spans="1:17" x14ac:dyDescent="0.3">
      <c r="A92" s="5">
        <v>90</v>
      </c>
      <c r="B92" s="5">
        <v>91</v>
      </c>
      <c r="C92">
        <v>90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0.13</v>
      </c>
      <c r="K92">
        <v>0</v>
      </c>
      <c r="N92" s="5" t="str">
        <f t="shared" si="3"/>
        <v>90 0</v>
      </c>
      <c r="P92" s="5">
        <f t="shared" si="4"/>
        <v>33.999999999999986</v>
      </c>
      <c r="Q92" s="5">
        <f t="shared" si="5"/>
        <v>34.149999999999991</v>
      </c>
    </row>
    <row r="93" spans="1:17" x14ac:dyDescent="0.3">
      <c r="A93" s="5">
        <v>91</v>
      </c>
      <c r="B93" s="5">
        <v>92</v>
      </c>
      <c r="C93">
        <v>91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0.13</v>
      </c>
      <c r="K93">
        <v>0</v>
      </c>
      <c r="N93" s="5" t="str">
        <f t="shared" si="3"/>
        <v>91 0</v>
      </c>
      <c r="P93" s="5">
        <f t="shared" si="4"/>
        <v>33.999999999999986</v>
      </c>
      <c r="Q93" s="5">
        <f t="shared" si="5"/>
        <v>34.149999999999991</v>
      </c>
    </row>
    <row r="94" spans="1:17" x14ac:dyDescent="0.3">
      <c r="A94" s="5">
        <v>92</v>
      </c>
      <c r="B94" s="5">
        <v>93</v>
      </c>
      <c r="C94">
        <v>92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0.13</v>
      </c>
      <c r="K94">
        <v>0</v>
      </c>
      <c r="N94" s="5" t="str">
        <f t="shared" si="3"/>
        <v>92 0</v>
      </c>
      <c r="P94" s="5">
        <f t="shared" si="4"/>
        <v>33.999999999999986</v>
      </c>
      <c r="Q94" s="5">
        <f t="shared" si="5"/>
        <v>34.149999999999991</v>
      </c>
    </row>
    <row r="95" spans="1:17" x14ac:dyDescent="0.3">
      <c r="A95" s="5">
        <v>93</v>
      </c>
      <c r="B95" s="5">
        <v>94</v>
      </c>
      <c r="C95">
        <v>93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0.13</v>
      </c>
      <c r="K95">
        <v>0</v>
      </c>
      <c r="N95" s="5" t="str">
        <f t="shared" si="3"/>
        <v>93 0</v>
      </c>
      <c r="P95" s="5">
        <f t="shared" si="4"/>
        <v>33.999999999999986</v>
      </c>
      <c r="Q95" s="5">
        <f t="shared" si="5"/>
        <v>34.149999999999991</v>
      </c>
    </row>
    <row r="96" spans="1:17" x14ac:dyDescent="0.3">
      <c r="A96" s="5">
        <v>94</v>
      </c>
      <c r="B96" s="5">
        <v>95</v>
      </c>
      <c r="C96">
        <v>94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0.13</v>
      </c>
      <c r="K96">
        <v>0</v>
      </c>
      <c r="N96" s="5" t="str">
        <f t="shared" si="3"/>
        <v>94 0</v>
      </c>
      <c r="P96" s="5">
        <f t="shared" si="4"/>
        <v>33.999999999999986</v>
      </c>
      <c r="Q96" s="5">
        <f t="shared" si="5"/>
        <v>34.149999999999991</v>
      </c>
    </row>
    <row r="97" spans="1:17" x14ac:dyDescent="0.3">
      <c r="A97" s="5">
        <v>95</v>
      </c>
      <c r="B97" s="5">
        <v>96</v>
      </c>
      <c r="C97">
        <v>95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0.13</v>
      </c>
      <c r="K97">
        <v>0</v>
      </c>
      <c r="N97" s="5" t="str">
        <f t="shared" si="3"/>
        <v>95 0</v>
      </c>
      <c r="P97" s="5">
        <f t="shared" si="4"/>
        <v>33.999999999999986</v>
      </c>
      <c r="Q97" s="5">
        <f t="shared" si="5"/>
        <v>34.149999999999991</v>
      </c>
    </row>
    <row r="98" spans="1:17" x14ac:dyDescent="0.3">
      <c r="A98" s="5">
        <v>96</v>
      </c>
      <c r="B98" s="5">
        <v>97</v>
      </c>
      <c r="C98">
        <v>96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0.13</v>
      </c>
      <c r="K98">
        <v>0</v>
      </c>
      <c r="N98" s="5" t="str">
        <f t="shared" si="3"/>
        <v>96 0</v>
      </c>
      <c r="P98" s="5">
        <f t="shared" si="4"/>
        <v>33.999999999999986</v>
      </c>
      <c r="Q98" s="5">
        <f t="shared" si="5"/>
        <v>34.149999999999991</v>
      </c>
    </row>
    <row r="99" spans="1:17" x14ac:dyDescent="0.3">
      <c r="A99" s="5">
        <v>97</v>
      </c>
      <c r="B99" s="5">
        <v>98</v>
      </c>
      <c r="C99">
        <v>97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0.13</v>
      </c>
      <c r="K99">
        <v>0</v>
      </c>
      <c r="N99" s="5" t="str">
        <f t="shared" si="3"/>
        <v>97 0</v>
      </c>
      <c r="P99" s="5">
        <f t="shared" si="4"/>
        <v>33.999999999999986</v>
      </c>
      <c r="Q99" s="5">
        <f t="shared" si="5"/>
        <v>34.149999999999991</v>
      </c>
    </row>
    <row r="100" spans="1:17" x14ac:dyDescent="0.3">
      <c r="A100" s="5">
        <v>98</v>
      </c>
      <c r="B100" s="5">
        <v>99</v>
      </c>
      <c r="C100">
        <v>98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0.13</v>
      </c>
      <c r="K100">
        <v>0</v>
      </c>
      <c r="N100" s="5" t="str">
        <f t="shared" si="3"/>
        <v>98 0</v>
      </c>
      <c r="P100" s="5">
        <f t="shared" si="4"/>
        <v>33.999999999999986</v>
      </c>
      <c r="Q100" s="5">
        <f t="shared" si="5"/>
        <v>34.149999999999991</v>
      </c>
    </row>
    <row r="101" spans="1:17" x14ac:dyDescent="0.3">
      <c r="A101" s="5">
        <v>99</v>
      </c>
      <c r="B101" s="5">
        <v>100</v>
      </c>
      <c r="C101">
        <v>99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0.13</v>
      </c>
      <c r="K101">
        <v>0</v>
      </c>
      <c r="N101" s="5" t="str">
        <f t="shared" si="3"/>
        <v>99 0</v>
      </c>
      <c r="P101" s="5">
        <f t="shared" si="4"/>
        <v>33.999999999999986</v>
      </c>
      <c r="Q101" s="5">
        <f t="shared" si="5"/>
        <v>34.149999999999991</v>
      </c>
    </row>
    <row r="102" spans="1:17" x14ac:dyDescent="0.3">
      <c r="A102" s="5">
        <v>100</v>
      </c>
      <c r="B102" s="5">
        <v>101</v>
      </c>
      <c r="C102">
        <v>100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0.13</v>
      </c>
      <c r="K102">
        <v>0</v>
      </c>
      <c r="N102" s="5" t="str">
        <f t="shared" si="3"/>
        <v>100 0</v>
      </c>
      <c r="P102" s="5">
        <f t="shared" si="4"/>
        <v>33.999999999999986</v>
      </c>
      <c r="Q102" s="5">
        <f t="shared" si="5"/>
        <v>34.149999999999991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AR106"/>
  <sheetViews>
    <sheetView tabSelected="1" topLeftCell="AO13" zoomScaleNormal="100" workbookViewId="0">
      <selection activeCell="BB43" sqref="BB43"/>
    </sheetView>
  </sheetViews>
  <sheetFormatPr baseColWidth="10" defaultRowHeight="14.4" x14ac:dyDescent="0.3"/>
  <cols>
    <col min="1" max="1" width="8.5546875" customWidth="1"/>
    <col min="2" max="2" width="13.88671875" bestFit="1" customWidth="1"/>
    <col min="3" max="3" width="14" bestFit="1" customWidth="1"/>
    <col min="4" max="4" width="12.88671875" bestFit="1" customWidth="1"/>
    <col min="5" max="5" width="23.109375" bestFit="1" customWidth="1"/>
    <col min="6" max="6" width="13.5546875" bestFit="1" customWidth="1"/>
    <col min="7" max="7" width="15" bestFit="1" customWidth="1"/>
    <col min="8" max="9" width="9" bestFit="1" customWidth="1"/>
    <col min="10" max="10" width="6.88671875" bestFit="1" customWidth="1"/>
    <col min="11" max="11" width="4.6640625" bestFit="1" customWidth="1"/>
    <col min="12" max="12" width="12" bestFit="1" customWidth="1"/>
    <col min="13" max="13" width="17.44140625" bestFit="1" customWidth="1"/>
    <col min="14" max="14" width="12" bestFit="1" customWidth="1"/>
    <col min="15" max="15" width="17" bestFit="1" customWidth="1"/>
    <col min="16" max="16" width="12" bestFit="1" customWidth="1"/>
    <col min="17" max="17" width="17.109375" bestFit="1" customWidth="1"/>
    <col min="18" max="18" width="9" bestFit="1" customWidth="1"/>
    <col min="19" max="19" width="19.5546875" bestFit="1" customWidth="1"/>
    <col min="20" max="20" width="9" bestFit="1" customWidth="1"/>
    <col min="21" max="21" width="19.109375" bestFit="1" customWidth="1"/>
    <col min="22" max="22" width="9" bestFit="1" customWidth="1"/>
    <col min="23" max="23" width="19.33203125" bestFit="1" customWidth="1"/>
    <col min="24" max="24" width="9" bestFit="1" customWidth="1"/>
    <col min="25" max="25" width="13.6640625" bestFit="1" customWidth="1"/>
    <col min="26" max="26" width="13.33203125" bestFit="1" customWidth="1"/>
    <col min="27" max="27" width="14.33203125" bestFit="1" customWidth="1"/>
    <col min="28" max="28" width="19.6640625" bestFit="1" customWidth="1"/>
    <col min="29" max="29" width="19.33203125" bestFit="1" customWidth="1"/>
    <col min="30" max="30" width="14.33203125" bestFit="1" customWidth="1"/>
    <col min="31" max="31" width="19.6640625" bestFit="1" customWidth="1"/>
    <col min="32" max="32" width="19.33203125" bestFit="1" customWidth="1"/>
    <col min="34" max="38" width="11.5546875" style="7"/>
    <col min="42" max="42" width="13.109375" customWidth="1"/>
  </cols>
  <sheetData>
    <row r="1" spans="1:44" s="3" customFormat="1" x14ac:dyDescent="0.3">
      <c r="A1" s="3" t="s">
        <v>14</v>
      </c>
      <c r="B1" s="3" t="s">
        <v>1</v>
      </c>
      <c r="C1" s="3" t="s">
        <v>2</v>
      </c>
      <c r="D1" s="3" t="s">
        <v>15</v>
      </c>
      <c r="E1" s="3" t="s">
        <v>16</v>
      </c>
      <c r="F1" s="3" t="s">
        <v>17</v>
      </c>
      <c r="G1" s="3" t="s">
        <v>18</v>
      </c>
      <c r="H1" s="3" t="s">
        <v>19</v>
      </c>
      <c r="I1" s="3" t="s">
        <v>20</v>
      </c>
      <c r="J1" s="3" t="s">
        <v>21</v>
      </c>
      <c r="K1" s="3" t="s">
        <v>22</v>
      </c>
      <c r="L1" s="3" t="s">
        <v>23</v>
      </c>
      <c r="M1" s="3" t="s">
        <v>24</v>
      </c>
      <c r="N1" s="3" t="s">
        <v>25</v>
      </c>
      <c r="O1" s="3" t="s">
        <v>26</v>
      </c>
      <c r="P1" s="3" t="s">
        <v>27</v>
      </c>
      <c r="Q1" s="3" t="s">
        <v>28</v>
      </c>
      <c r="R1" s="3" t="s">
        <v>29</v>
      </c>
      <c r="S1" s="3" t="s">
        <v>30</v>
      </c>
      <c r="T1" s="3" t="s">
        <v>31</v>
      </c>
      <c r="U1" s="3" t="s">
        <v>32</v>
      </c>
      <c r="V1" s="3" t="s">
        <v>33</v>
      </c>
      <c r="W1" s="3" t="s">
        <v>34</v>
      </c>
      <c r="X1" s="3" t="s">
        <v>20</v>
      </c>
      <c r="Y1" s="3" t="s">
        <v>35</v>
      </c>
      <c r="Z1" s="3" t="s">
        <v>36</v>
      </c>
      <c r="AA1" s="3" t="s">
        <v>37</v>
      </c>
      <c r="AB1" s="3" t="s">
        <v>38</v>
      </c>
      <c r="AC1" s="3" t="s">
        <v>39</v>
      </c>
      <c r="AD1" s="3" t="s">
        <v>40</v>
      </c>
      <c r="AE1" s="3" t="s">
        <v>41</v>
      </c>
      <c r="AF1" s="3" t="s">
        <v>42</v>
      </c>
      <c r="AH1" s="6" t="s">
        <v>4</v>
      </c>
      <c r="AI1" s="6" t="s">
        <v>12</v>
      </c>
      <c r="AJ1" s="6" t="s">
        <v>54</v>
      </c>
      <c r="AK1" s="6" t="s">
        <v>13</v>
      </c>
      <c r="AL1" s="6" t="s">
        <v>51</v>
      </c>
      <c r="AM1" s="1" t="s">
        <v>48</v>
      </c>
      <c r="AN1" s="3" t="s">
        <v>49</v>
      </c>
      <c r="AO1" s="3" t="s">
        <v>50</v>
      </c>
      <c r="AP1" s="3" t="s">
        <v>51</v>
      </c>
      <c r="AQ1" s="3" t="s">
        <v>52</v>
      </c>
      <c r="AR1" s="3" t="s">
        <v>53</v>
      </c>
    </row>
    <row r="2" spans="1:44" x14ac:dyDescent="0.3">
      <c r="A2">
        <v>0</v>
      </c>
      <c r="B2" t="s">
        <v>43</v>
      </c>
      <c r="C2">
        <v>0</v>
      </c>
      <c r="D2">
        <v>1</v>
      </c>
      <c r="E2">
        <v>2147483647</v>
      </c>
      <c r="F2">
        <v>0</v>
      </c>
      <c r="G2">
        <v>1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-1</v>
      </c>
      <c r="Z2">
        <v>-1</v>
      </c>
      <c r="AA2">
        <v>0</v>
      </c>
      <c r="AB2">
        <v>-1</v>
      </c>
      <c r="AC2">
        <v>-1</v>
      </c>
      <c r="AD2">
        <v>0</v>
      </c>
      <c r="AE2">
        <v>-1</v>
      </c>
      <c r="AF2">
        <v>-1</v>
      </c>
      <c r="AN2">
        <f>(AJ2-AM2)^2</f>
        <v>0</v>
      </c>
      <c r="AO2">
        <v>0</v>
      </c>
      <c r="AP2">
        <f>0</f>
        <v>0</v>
      </c>
      <c r="AR2">
        <f t="shared" ref="AR2:AR33" si="0">N2</f>
        <v>0</v>
      </c>
    </row>
    <row r="3" spans="1:44" x14ac:dyDescent="0.3">
      <c r="A3">
        <v>1</v>
      </c>
      <c r="B3">
        <v>0</v>
      </c>
      <c r="C3">
        <v>1</v>
      </c>
      <c r="D3">
        <v>1</v>
      </c>
      <c r="E3">
        <v>2147483647</v>
      </c>
      <c r="F3">
        <v>0</v>
      </c>
      <c r="G3">
        <v>1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-1</v>
      </c>
      <c r="Z3">
        <v>-1</v>
      </c>
      <c r="AA3">
        <v>0</v>
      </c>
      <c r="AB3">
        <v>-1</v>
      </c>
      <c r="AC3">
        <v>-1</v>
      </c>
      <c r="AD3">
        <v>0</v>
      </c>
      <c r="AE3">
        <v>-1</v>
      </c>
      <c r="AF3">
        <v>-1</v>
      </c>
      <c r="AH3" s="7">
        <f>SBC!D2</f>
        <v>0</v>
      </c>
      <c r="AI3" s="7">
        <f>AI2+AH3</f>
        <v>0</v>
      </c>
      <c r="AJ3" s="7">
        <f t="shared" ref="AJ3:AJ66" si="1">AD3</f>
        <v>0</v>
      </c>
      <c r="AK3" s="7">
        <f>AK2+AJ3</f>
        <v>0</v>
      </c>
      <c r="AL3" s="7">
        <f t="shared" ref="AL3:AL66" si="2">AK3-AI3</f>
        <v>0</v>
      </c>
      <c r="AM3">
        <f>SBC!K2</f>
        <v>0</v>
      </c>
      <c r="AN3">
        <f t="shared" ref="AN3:AN34" si="3">ABS(AJ3-AM3)</f>
        <v>0</v>
      </c>
      <c r="AO3">
        <f t="shared" ref="AO3:AO34" si="4">AO2+AM3-AH3</f>
        <v>0</v>
      </c>
      <c r="AP3">
        <f t="shared" ref="AP3:AP34" si="5">AP2+AJ3-AH3</f>
        <v>0</v>
      </c>
      <c r="AQ3">
        <f>SBC!I2</f>
        <v>0</v>
      </c>
      <c r="AR3">
        <f t="shared" si="0"/>
        <v>0</v>
      </c>
    </row>
    <row r="4" spans="1:44" x14ac:dyDescent="0.3">
      <c r="A4">
        <v>2</v>
      </c>
      <c r="B4">
        <v>1</v>
      </c>
      <c r="C4">
        <v>2</v>
      </c>
      <c r="D4">
        <v>1</v>
      </c>
      <c r="E4">
        <v>2147483647</v>
      </c>
      <c r="F4">
        <v>0</v>
      </c>
      <c r="G4">
        <v>1</v>
      </c>
      <c r="H4">
        <v>0</v>
      </c>
      <c r="I4">
        <v>0</v>
      </c>
      <c r="J4">
        <v>0</v>
      </c>
      <c r="K4">
        <v>0</v>
      </c>
      <c r="L4">
        <v>0</v>
      </c>
      <c r="M4" s="2">
        <v>0</v>
      </c>
      <c r="N4">
        <v>0</v>
      </c>
      <c r="O4">
        <v>0</v>
      </c>
      <c r="P4">
        <v>0</v>
      </c>
      <c r="Q4" s="2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-1</v>
      </c>
      <c r="Z4">
        <v>-1</v>
      </c>
      <c r="AA4">
        <v>0</v>
      </c>
      <c r="AB4">
        <v>-1</v>
      </c>
      <c r="AC4">
        <v>-1</v>
      </c>
      <c r="AD4">
        <v>0</v>
      </c>
      <c r="AE4">
        <v>-1</v>
      </c>
      <c r="AF4">
        <v>-1</v>
      </c>
      <c r="AH4" s="7">
        <f>SBC!D3</f>
        <v>0</v>
      </c>
      <c r="AI4" s="7">
        <f t="shared" ref="AI4:AI67" si="6">AI3+AH4</f>
        <v>0</v>
      </c>
      <c r="AJ4" s="7">
        <f>AD4</f>
        <v>0</v>
      </c>
      <c r="AK4" s="7">
        <f t="shared" ref="AK4:AK67" si="7">AK3+AJ4</f>
        <v>0</v>
      </c>
      <c r="AL4" s="7">
        <f>AK4-AI4</f>
        <v>0</v>
      </c>
      <c r="AM4">
        <f>SBC!K3</f>
        <v>0</v>
      </c>
      <c r="AN4">
        <f t="shared" si="3"/>
        <v>0</v>
      </c>
      <c r="AO4">
        <f t="shared" si="4"/>
        <v>0</v>
      </c>
      <c r="AP4">
        <f t="shared" si="5"/>
        <v>0</v>
      </c>
      <c r="AQ4">
        <f>SBC!I3</f>
        <v>0</v>
      </c>
      <c r="AR4">
        <f t="shared" si="0"/>
        <v>0</v>
      </c>
    </row>
    <row r="5" spans="1:44" x14ac:dyDescent="0.3">
      <c r="A5">
        <v>3</v>
      </c>
      <c r="B5">
        <v>2</v>
      </c>
      <c r="C5">
        <v>3</v>
      </c>
      <c r="D5">
        <v>1</v>
      </c>
      <c r="E5">
        <v>2147483647</v>
      </c>
      <c r="F5">
        <v>0</v>
      </c>
      <c r="G5">
        <v>1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-1</v>
      </c>
      <c r="Z5">
        <v>-1</v>
      </c>
      <c r="AA5">
        <v>0</v>
      </c>
      <c r="AB5">
        <v>-1</v>
      </c>
      <c r="AC5">
        <v>-1</v>
      </c>
      <c r="AD5">
        <v>0</v>
      </c>
      <c r="AE5">
        <v>-1</v>
      </c>
      <c r="AF5">
        <v>-1</v>
      </c>
      <c r="AH5" s="7">
        <f>SBC!D4</f>
        <v>0</v>
      </c>
      <c r="AI5" s="7">
        <f t="shared" si="6"/>
        <v>0</v>
      </c>
      <c r="AJ5" s="7">
        <f t="shared" si="1"/>
        <v>0</v>
      </c>
      <c r="AK5" s="7">
        <f t="shared" si="7"/>
        <v>0</v>
      </c>
      <c r="AL5" s="7">
        <f t="shared" si="2"/>
        <v>0</v>
      </c>
      <c r="AM5">
        <f>SBC!K4</f>
        <v>0</v>
      </c>
      <c r="AN5">
        <f t="shared" si="3"/>
        <v>0</v>
      </c>
      <c r="AO5">
        <f t="shared" si="4"/>
        <v>0</v>
      </c>
      <c r="AP5">
        <f t="shared" si="5"/>
        <v>0</v>
      </c>
      <c r="AQ5">
        <f>SBC!I4</f>
        <v>0</v>
      </c>
      <c r="AR5">
        <f t="shared" si="0"/>
        <v>0</v>
      </c>
    </row>
    <row r="6" spans="1:44" x14ac:dyDescent="0.3">
      <c r="A6">
        <v>4</v>
      </c>
      <c r="B6">
        <v>3</v>
      </c>
      <c r="C6">
        <v>4</v>
      </c>
      <c r="D6">
        <v>1</v>
      </c>
      <c r="E6">
        <v>2147483647</v>
      </c>
      <c r="F6">
        <v>0</v>
      </c>
      <c r="G6">
        <v>1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-1</v>
      </c>
      <c r="Z6">
        <v>-1</v>
      </c>
      <c r="AA6">
        <v>0</v>
      </c>
      <c r="AB6">
        <v>-1</v>
      </c>
      <c r="AC6">
        <v>-1</v>
      </c>
      <c r="AD6">
        <v>0</v>
      </c>
      <c r="AE6">
        <v>-1</v>
      </c>
      <c r="AF6">
        <v>-1</v>
      </c>
      <c r="AH6" s="7">
        <f>SBC!D5</f>
        <v>0</v>
      </c>
      <c r="AI6" s="7">
        <f t="shared" si="6"/>
        <v>0</v>
      </c>
      <c r="AJ6" s="7">
        <f t="shared" si="1"/>
        <v>0</v>
      </c>
      <c r="AK6" s="7">
        <f t="shared" si="7"/>
        <v>0</v>
      </c>
      <c r="AL6" s="7">
        <f t="shared" si="2"/>
        <v>0</v>
      </c>
      <c r="AM6">
        <f>SBC!K5</f>
        <v>0</v>
      </c>
      <c r="AN6">
        <f t="shared" si="3"/>
        <v>0</v>
      </c>
      <c r="AO6">
        <f t="shared" si="4"/>
        <v>0</v>
      </c>
      <c r="AP6">
        <f t="shared" si="5"/>
        <v>0</v>
      </c>
      <c r="AQ6">
        <f>SBC!I5</f>
        <v>0</v>
      </c>
      <c r="AR6">
        <f t="shared" si="0"/>
        <v>0</v>
      </c>
    </row>
    <row r="7" spans="1:44" x14ac:dyDescent="0.3">
      <c r="A7">
        <v>5</v>
      </c>
      <c r="B7">
        <v>4</v>
      </c>
      <c r="C7">
        <v>5</v>
      </c>
      <c r="D7">
        <v>1</v>
      </c>
      <c r="E7">
        <v>2147483647</v>
      </c>
      <c r="F7">
        <v>0.37</v>
      </c>
      <c r="G7">
        <v>1</v>
      </c>
      <c r="H7">
        <v>0.37068899999999999</v>
      </c>
      <c r="I7">
        <v>0.37068899999999999</v>
      </c>
      <c r="J7">
        <v>0</v>
      </c>
      <c r="K7">
        <v>0</v>
      </c>
      <c r="L7">
        <v>1.3382412137087501E-2</v>
      </c>
      <c r="M7" s="2">
        <v>2.20670240814144E-4</v>
      </c>
      <c r="N7">
        <v>0.139190377971255</v>
      </c>
      <c r="O7" s="2">
        <v>7.4083587701680002E-4</v>
      </c>
      <c r="P7">
        <v>0.12580796583416601</v>
      </c>
      <c r="Q7" s="2">
        <v>6.2627056489524197E-4</v>
      </c>
      <c r="R7">
        <v>3.3734E-2</v>
      </c>
      <c r="S7" s="2">
        <v>5.1622098126245699E-4</v>
      </c>
      <c r="T7">
        <v>0.24382899999999999</v>
      </c>
      <c r="U7" s="2">
        <v>1.31193543114239E-3</v>
      </c>
      <c r="V7">
        <v>0.210095</v>
      </c>
      <c r="W7" s="2">
        <v>1.04933067668499E-3</v>
      </c>
      <c r="X7">
        <v>0.37068899999999999</v>
      </c>
      <c r="Y7">
        <v>0.136595762854583</v>
      </c>
      <c r="Z7">
        <v>1.1297863960231</v>
      </c>
      <c r="AA7">
        <v>0.336955</v>
      </c>
      <c r="AB7">
        <v>8.7959732178535897E-3</v>
      </c>
      <c r="AC7">
        <v>1.0018784601061601</v>
      </c>
      <c r="AD7">
        <v>0.12686</v>
      </c>
      <c r="AE7">
        <v>4.52753424192044E-3</v>
      </c>
      <c r="AF7">
        <v>0.29055419460938597</v>
      </c>
      <c r="AH7" s="7">
        <f>SBC!D6</f>
        <v>0</v>
      </c>
      <c r="AI7" s="7">
        <f t="shared" si="6"/>
        <v>0</v>
      </c>
      <c r="AJ7" s="7">
        <f t="shared" si="1"/>
        <v>0.12686</v>
      </c>
      <c r="AK7" s="7">
        <f t="shared" si="7"/>
        <v>0.12686</v>
      </c>
      <c r="AL7" s="7">
        <f t="shared" si="2"/>
        <v>0.12686</v>
      </c>
      <c r="AM7">
        <f>SBC!K6</f>
        <v>0.27</v>
      </c>
      <c r="AN7">
        <f t="shared" si="3"/>
        <v>0.14314000000000002</v>
      </c>
      <c r="AO7">
        <f t="shared" si="4"/>
        <v>0.27</v>
      </c>
      <c r="AP7">
        <f t="shared" si="5"/>
        <v>0.12686</v>
      </c>
      <c r="AQ7">
        <f>SBC!I6</f>
        <v>0.37</v>
      </c>
      <c r="AR7">
        <f t="shared" si="0"/>
        <v>0.139190377971255</v>
      </c>
    </row>
    <row r="8" spans="1:44" x14ac:dyDescent="0.3">
      <c r="A8">
        <v>6</v>
      </c>
      <c r="B8">
        <v>5</v>
      </c>
      <c r="C8">
        <v>6</v>
      </c>
      <c r="D8">
        <v>1</v>
      </c>
      <c r="E8">
        <v>2147483647</v>
      </c>
      <c r="F8">
        <v>0.67</v>
      </c>
      <c r="G8">
        <v>1</v>
      </c>
      <c r="H8">
        <v>0.67381999999999997</v>
      </c>
      <c r="I8">
        <v>0.67381999999999997</v>
      </c>
      <c r="J8">
        <v>0</v>
      </c>
      <c r="K8">
        <v>0</v>
      </c>
      <c r="L8">
        <v>0.10087200342175601</v>
      </c>
      <c r="M8" s="2">
        <v>7.8085389444668498E-4</v>
      </c>
      <c r="N8">
        <v>0.43114153307283998</v>
      </c>
      <c r="O8">
        <v>1.518896756439E-3</v>
      </c>
      <c r="P8">
        <v>0.33026952965108802</v>
      </c>
      <c r="Q8" s="2">
        <v>9.6389228636214498E-4</v>
      </c>
      <c r="R8">
        <v>0.173349</v>
      </c>
      <c r="S8">
        <v>1.2780555987761701E-3</v>
      </c>
      <c r="T8">
        <v>0.58649700000000005</v>
      </c>
      <c r="U8">
        <v>2.1429046320078399E-3</v>
      </c>
      <c r="V8">
        <v>0.41314800000000002</v>
      </c>
      <c r="W8">
        <v>1.26833565526191E-3</v>
      </c>
      <c r="X8">
        <v>0.67381999999999997</v>
      </c>
      <c r="Y8">
        <v>0.427183454178165</v>
      </c>
      <c r="Z8">
        <v>1.4271617523804401</v>
      </c>
      <c r="AA8">
        <v>0.53420500000000004</v>
      </c>
      <c r="AB8">
        <v>6.0129041096114E-2</v>
      </c>
      <c r="AC8">
        <v>1.0610610477201401</v>
      </c>
      <c r="AD8">
        <v>0.331152</v>
      </c>
      <c r="AE8">
        <v>3.1225275581797898E-2</v>
      </c>
      <c r="AF8">
        <v>0.539910492088989</v>
      </c>
      <c r="AH8" s="7">
        <f>SBC!D7</f>
        <v>0</v>
      </c>
      <c r="AI8" s="7">
        <f t="shared" si="6"/>
        <v>0</v>
      </c>
      <c r="AJ8" s="7">
        <f t="shared" si="1"/>
        <v>0.331152</v>
      </c>
      <c r="AK8" s="7">
        <f t="shared" si="7"/>
        <v>0.45801199999999997</v>
      </c>
      <c r="AL8" s="7">
        <f t="shared" si="2"/>
        <v>0.45801199999999997</v>
      </c>
      <c r="AM8">
        <f>SBC!K7</f>
        <v>0.43</v>
      </c>
      <c r="AN8">
        <f t="shared" si="3"/>
        <v>9.8847999999999991E-2</v>
      </c>
      <c r="AO8">
        <f t="shared" si="4"/>
        <v>0.7</v>
      </c>
      <c r="AP8">
        <f t="shared" si="5"/>
        <v>0.45801199999999997</v>
      </c>
      <c r="AQ8">
        <f>SBC!I7</f>
        <v>0.77</v>
      </c>
      <c r="AR8">
        <f t="shared" si="0"/>
        <v>0.43114153307283998</v>
      </c>
    </row>
    <row r="9" spans="1:44" x14ac:dyDescent="0.3">
      <c r="A9">
        <v>7</v>
      </c>
      <c r="B9">
        <v>6</v>
      </c>
      <c r="C9">
        <v>7</v>
      </c>
      <c r="D9">
        <v>1</v>
      </c>
      <c r="E9">
        <v>2147483647</v>
      </c>
      <c r="F9">
        <v>0.76</v>
      </c>
      <c r="G9">
        <v>1</v>
      </c>
      <c r="H9">
        <v>0.761127</v>
      </c>
      <c r="I9">
        <v>0.761127</v>
      </c>
      <c r="J9">
        <v>0</v>
      </c>
      <c r="K9">
        <v>0</v>
      </c>
      <c r="L9">
        <v>0.26371506186111399</v>
      </c>
      <c r="M9">
        <v>1.47278833671292E-3</v>
      </c>
      <c r="N9">
        <v>0.73882175996827304</v>
      </c>
      <c r="O9">
        <v>2.2335494706107401E-3</v>
      </c>
      <c r="P9">
        <v>0.47510669810715001</v>
      </c>
      <c r="Q9">
        <v>1.06142447812969E-3</v>
      </c>
      <c r="R9">
        <v>0.35132799999999997</v>
      </c>
      <c r="S9">
        <v>1.9471474487762601E-3</v>
      </c>
      <c r="T9">
        <v>0.87312800000000002</v>
      </c>
      <c r="U9">
        <v>2.7706220302238E-3</v>
      </c>
      <c r="V9">
        <v>0.52180000000000004</v>
      </c>
      <c r="W9">
        <v>1.2866899323437E-3</v>
      </c>
      <c r="X9">
        <v>0.761127</v>
      </c>
      <c r="Y9">
        <v>0.73797831816765103</v>
      </c>
      <c r="Z9">
        <v>1.7392068169689201</v>
      </c>
      <c r="AA9">
        <v>0.583148</v>
      </c>
      <c r="AB9">
        <v>0.19157929351127101</v>
      </c>
      <c r="AC9">
        <v>1.1914071466402301</v>
      </c>
      <c r="AD9">
        <v>0.47449599999999997</v>
      </c>
      <c r="AE9">
        <v>0.107685245326017</v>
      </c>
      <c r="AF9">
        <v>0.79922709123957703</v>
      </c>
      <c r="AH9" s="7">
        <f>SBC!D8</f>
        <v>0.7</v>
      </c>
      <c r="AI9" s="7">
        <f t="shared" si="6"/>
        <v>0.7</v>
      </c>
      <c r="AJ9" s="7">
        <f t="shared" si="1"/>
        <v>0.47449599999999997</v>
      </c>
      <c r="AK9" s="7">
        <f t="shared" si="7"/>
        <v>0.93250799999999989</v>
      </c>
      <c r="AL9" s="7">
        <f t="shared" si="2"/>
        <v>0.23250799999999994</v>
      </c>
      <c r="AM9">
        <f>SBC!K8</f>
        <v>0.52</v>
      </c>
      <c r="AN9">
        <f t="shared" si="3"/>
        <v>4.5504000000000044E-2</v>
      </c>
      <c r="AO9">
        <f t="shared" si="4"/>
        <v>0.52</v>
      </c>
      <c r="AP9">
        <f t="shared" si="5"/>
        <v>0.23250799999999994</v>
      </c>
      <c r="AQ9">
        <f>SBC!I8</f>
        <v>1.0900000000000001</v>
      </c>
      <c r="AR9">
        <f t="shared" si="0"/>
        <v>0.73882175996827304</v>
      </c>
    </row>
    <row r="10" spans="1:44" x14ac:dyDescent="0.3">
      <c r="A10">
        <v>8</v>
      </c>
      <c r="B10">
        <v>7</v>
      </c>
      <c r="C10">
        <v>8</v>
      </c>
      <c r="D10">
        <v>1</v>
      </c>
      <c r="E10">
        <v>2147483647</v>
      </c>
      <c r="F10">
        <v>0.8</v>
      </c>
      <c r="G10">
        <v>1</v>
      </c>
      <c r="H10">
        <v>0.80045599999999995</v>
      </c>
      <c r="I10">
        <v>0.80045599999999995</v>
      </c>
      <c r="J10">
        <v>0</v>
      </c>
      <c r="K10">
        <v>0</v>
      </c>
      <c r="L10">
        <v>0.44202020538250397</v>
      </c>
      <c r="M10">
        <v>2.0859367315486802E-3</v>
      </c>
      <c r="N10">
        <v>0.999985440747853</v>
      </c>
      <c r="O10">
        <v>2.8191052785402301E-3</v>
      </c>
      <c r="P10">
        <v>0.55796523536533504</v>
      </c>
      <c r="Q10">
        <v>1.07208493914667E-3</v>
      </c>
      <c r="R10">
        <v>0.52903199999999995</v>
      </c>
      <c r="S10">
        <v>2.5169202271911198E-3</v>
      </c>
      <c r="T10">
        <v>1.1161840000000001</v>
      </c>
      <c r="U10">
        <v>3.2926386585535902E-3</v>
      </c>
      <c r="V10">
        <v>0.58715200000000001</v>
      </c>
      <c r="W10">
        <v>1.2681991108829101E-3</v>
      </c>
      <c r="X10">
        <v>0.80045599999999995</v>
      </c>
      <c r="Y10">
        <v>0.99950792695755297</v>
      </c>
      <c r="Z10">
        <v>2.0005921631433501</v>
      </c>
      <c r="AA10">
        <v>0.62275199999999997</v>
      </c>
      <c r="AB10">
        <v>0.36069133428647798</v>
      </c>
      <c r="AC10">
        <v>1.36104503372918</v>
      </c>
      <c r="AD10">
        <v>0.55740000000000001</v>
      </c>
      <c r="AE10">
        <v>0.23336882830232999</v>
      </c>
      <c r="AF10">
        <v>1.0466995105833199</v>
      </c>
      <c r="AH10" s="7">
        <f>SBC!D9</f>
        <v>0.7</v>
      </c>
      <c r="AI10" s="7">
        <f t="shared" si="6"/>
        <v>1.4</v>
      </c>
      <c r="AJ10" s="7">
        <f t="shared" si="1"/>
        <v>0.55740000000000001</v>
      </c>
      <c r="AK10" s="7">
        <f t="shared" si="7"/>
        <v>1.4899079999999998</v>
      </c>
      <c r="AL10" s="7">
        <f t="shared" si="2"/>
        <v>8.9907999999999877E-2</v>
      </c>
      <c r="AM10">
        <f>SBC!K9</f>
        <v>0.57999999999999996</v>
      </c>
      <c r="AN10">
        <f t="shared" si="3"/>
        <v>2.2599999999999953E-2</v>
      </c>
      <c r="AO10">
        <f t="shared" si="4"/>
        <v>0.40000000000000013</v>
      </c>
      <c r="AP10">
        <f t="shared" si="5"/>
        <v>8.9907999999999988E-2</v>
      </c>
      <c r="AQ10">
        <f>SBC!I9</f>
        <v>1.37</v>
      </c>
      <c r="AR10">
        <f t="shared" si="0"/>
        <v>0.999985440747853</v>
      </c>
    </row>
    <row r="11" spans="1:44" x14ac:dyDescent="0.3">
      <c r="A11">
        <v>9</v>
      </c>
      <c r="B11">
        <v>8</v>
      </c>
      <c r="C11">
        <v>9</v>
      </c>
      <c r="D11">
        <v>1</v>
      </c>
      <c r="E11">
        <v>2147483647</v>
      </c>
      <c r="F11">
        <v>0.83</v>
      </c>
      <c r="G11">
        <v>1</v>
      </c>
      <c r="H11">
        <v>0.83156799999999997</v>
      </c>
      <c r="I11">
        <v>0.83156799999999997</v>
      </c>
      <c r="J11">
        <v>0</v>
      </c>
      <c r="K11">
        <v>0</v>
      </c>
      <c r="L11">
        <v>0.61715880122952105</v>
      </c>
      <c r="M11">
        <v>2.6250400003301E-3</v>
      </c>
      <c r="N11">
        <v>1.2295154372016399</v>
      </c>
      <c r="O11">
        <v>3.3227868564313901E-3</v>
      </c>
      <c r="P11">
        <v>0.61235663597220202</v>
      </c>
      <c r="Q11">
        <v>1.0589884747915701E-3</v>
      </c>
      <c r="R11">
        <v>0.701874</v>
      </c>
      <c r="S11">
        <v>3.02205805794181E-3</v>
      </c>
      <c r="T11">
        <v>1.3348770000000001</v>
      </c>
      <c r="U11">
        <v>3.7539708861434799E-3</v>
      </c>
      <c r="V11">
        <v>0.63300299999999998</v>
      </c>
      <c r="W11">
        <v>1.24151285517816E-3</v>
      </c>
      <c r="X11">
        <v>0.83156799999999997</v>
      </c>
      <c r="Y11">
        <v>1.2292564829247501</v>
      </c>
      <c r="Z11">
        <v>2.2296489549462399</v>
      </c>
      <c r="AA11">
        <v>0.65872600000000003</v>
      </c>
      <c r="AB11">
        <v>0.53446242156397505</v>
      </c>
      <c r="AC11">
        <v>1.5362483594318299</v>
      </c>
      <c r="AD11">
        <v>0.61287499999999995</v>
      </c>
      <c r="AE11">
        <v>0.38596612427584998</v>
      </c>
      <c r="AF11">
        <v>1.26932597668503</v>
      </c>
      <c r="AH11" s="7">
        <f>SBC!D10</f>
        <v>0.7</v>
      </c>
      <c r="AI11" s="7">
        <f t="shared" si="6"/>
        <v>2.0999999999999996</v>
      </c>
      <c r="AJ11" s="7">
        <f t="shared" si="1"/>
        <v>0.61287499999999995</v>
      </c>
      <c r="AK11" s="7">
        <f t="shared" si="7"/>
        <v>2.1027829999999996</v>
      </c>
      <c r="AL11" s="7">
        <f t="shared" si="2"/>
        <v>2.7829999999999799E-3</v>
      </c>
      <c r="AM11">
        <f>SBC!K10</f>
        <v>0.62</v>
      </c>
      <c r="AN11">
        <f t="shared" si="3"/>
        <v>7.125000000000048E-3</v>
      </c>
      <c r="AO11">
        <f t="shared" si="4"/>
        <v>0.32000000000000006</v>
      </c>
      <c r="AP11">
        <f t="shared" si="5"/>
        <v>2.7829999999999799E-3</v>
      </c>
      <c r="AQ11">
        <f>SBC!I10</f>
        <v>1.62</v>
      </c>
      <c r="AR11">
        <f t="shared" si="0"/>
        <v>1.2295154372016399</v>
      </c>
    </row>
    <row r="12" spans="1:44" x14ac:dyDescent="0.3">
      <c r="A12">
        <v>10</v>
      </c>
      <c r="B12">
        <v>9</v>
      </c>
      <c r="C12">
        <v>10</v>
      </c>
      <c r="D12">
        <v>1</v>
      </c>
      <c r="E12">
        <v>2147483647</v>
      </c>
      <c r="F12">
        <v>0.85</v>
      </c>
      <c r="G12">
        <v>1</v>
      </c>
      <c r="H12">
        <v>0.84939399999999998</v>
      </c>
      <c r="I12">
        <v>0.84939399999999998</v>
      </c>
      <c r="J12">
        <v>0</v>
      </c>
      <c r="K12">
        <v>0</v>
      </c>
      <c r="L12">
        <v>0.78654604675193196</v>
      </c>
      <c r="M12">
        <v>3.1087302373698201E-3</v>
      </c>
      <c r="N12">
        <v>1.43743748097319</v>
      </c>
      <c r="O12">
        <v>3.7750647741175499E-3</v>
      </c>
      <c r="P12">
        <v>0.65089143422120399</v>
      </c>
      <c r="Q12">
        <v>1.0417764303081499E-3</v>
      </c>
      <c r="R12">
        <v>0.86729400000000001</v>
      </c>
      <c r="S12">
        <v>3.4744520368652099E-3</v>
      </c>
      <c r="T12">
        <v>1.534046</v>
      </c>
      <c r="U12">
        <v>4.1690932154294699E-3</v>
      </c>
      <c r="V12">
        <v>0.66675200000000001</v>
      </c>
      <c r="W12">
        <v>1.2141798436113101E-3</v>
      </c>
      <c r="X12">
        <v>0.84939399999999998</v>
      </c>
      <c r="Y12">
        <v>1.4362948948135801</v>
      </c>
      <c r="Z12">
        <v>2.4359452821734102</v>
      </c>
      <c r="AA12">
        <v>0.68397399999999997</v>
      </c>
      <c r="AB12">
        <v>0.70500666105948095</v>
      </c>
      <c r="AC12">
        <v>1.7045201220998001</v>
      </c>
      <c r="AD12">
        <v>0.65022500000000005</v>
      </c>
      <c r="AE12">
        <v>0.54839278158591698</v>
      </c>
      <c r="AF12">
        <v>1.4727042121284299</v>
      </c>
      <c r="AH12" s="7">
        <f>SBC!D11</f>
        <v>0.7</v>
      </c>
      <c r="AI12" s="7">
        <f t="shared" si="6"/>
        <v>2.8</v>
      </c>
      <c r="AJ12" s="7">
        <f t="shared" si="1"/>
        <v>0.65022500000000005</v>
      </c>
      <c r="AK12" s="7">
        <f t="shared" si="7"/>
        <v>2.7530079999999995</v>
      </c>
      <c r="AL12" s="7">
        <f t="shared" si="2"/>
        <v>-4.6992000000000367E-2</v>
      </c>
      <c r="AM12">
        <f>SBC!K11</f>
        <v>0.65</v>
      </c>
      <c r="AN12">
        <f t="shared" si="3"/>
        <v>2.2500000000003073E-4</v>
      </c>
      <c r="AO12">
        <f t="shared" si="4"/>
        <v>0.27000000000000013</v>
      </c>
      <c r="AP12">
        <f t="shared" si="5"/>
        <v>-4.6991999999999923E-2</v>
      </c>
      <c r="AQ12">
        <f>SBC!I11</f>
        <v>1.85</v>
      </c>
      <c r="AR12">
        <f t="shared" si="0"/>
        <v>1.43743748097319</v>
      </c>
    </row>
    <row r="13" spans="1:44" x14ac:dyDescent="0.3">
      <c r="A13">
        <v>11</v>
      </c>
      <c r="B13">
        <v>10</v>
      </c>
      <c r="C13">
        <v>11</v>
      </c>
      <c r="D13">
        <v>1</v>
      </c>
      <c r="E13">
        <v>2147483647</v>
      </c>
      <c r="F13">
        <v>0.86</v>
      </c>
      <c r="G13">
        <v>1</v>
      </c>
      <c r="H13">
        <v>0.85938899999999996</v>
      </c>
      <c r="I13">
        <v>0.85938899999999996</v>
      </c>
      <c r="J13">
        <v>0</v>
      </c>
      <c r="K13">
        <v>0</v>
      </c>
      <c r="L13">
        <v>0.94611180602822098</v>
      </c>
      <c r="M13">
        <v>3.5426450045332402E-3</v>
      </c>
      <c r="N13">
        <v>1.62563549001615</v>
      </c>
      <c r="O13">
        <v>4.1814318339374098E-3</v>
      </c>
      <c r="P13">
        <v>0.67952368398796403</v>
      </c>
      <c r="Q13">
        <v>1.02399599836996E-3</v>
      </c>
      <c r="R13">
        <v>1.0220590000000001</v>
      </c>
      <c r="S13">
        <v>3.885259539785E-3</v>
      </c>
      <c r="T13">
        <v>1.713395</v>
      </c>
      <c r="U13">
        <v>4.5494312720243202E-3</v>
      </c>
      <c r="V13">
        <v>0.69133599999999995</v>
      </c>
      <c r="W13">
        <v>1.18988408513251E-3</v>
      </c>
      <c r="X13">
        <v>0.85938899999999996</v>
      </c>
      <c r="Y13">
        <v>1.62493374532905</v>
      </c>
      <c r="Z13">
        <v>2.6252639564195301</v>
      </c>
      <c r="AA13">
        <v>0.70462400000000003</v>
      </c>
      <c r="AB13">
        <v>0.86832092134385597</v>
      </c>
      <c r="AC13">
        <v>1.8692876633111299</v>
      </c>
      <c r="AD13">
        <v>0.68003999999999998</v>
      </c>
      <c r="AE13">
        <v>0.71196626527979101</v>
      </c>
      <c r="AF13">
        <v>1.65822862404265</v>
      </c>
      <c r="AH13" s="7">
        <f>SBC!D12</f>
        <v>0.7</v>
      </c>
      <c r="AI13" s="7">
        <f t="shared" si="6"/>
        <v>3.5</v>
      </c>
      <c r="AJ13" s="7">
        <f t="shared" si="1"/>
        <v>0.68003999999999998</v>
      </c>
      <c r="AK13" s="7">
        <f t="shared" si="7"/>
        <v>3.4330479999999994</v>
      </c>
      <c r="AL13" s="7">
        <f t="shared" si="2"/>
        <v>-6.6952000000000567E-2</v>
      </c>
      <c r="AM13">
        <f>SBC!K12</f>
        <v>0.67</v>
      </c>
      <c r="AN13">
        <f t="shared" si="3"/>
        <v>1.0039999999999938E-2</v>
      </c>
      <c r="AO13">
        <f t="shared" si="4"/>
        <v>0.24000000000000021</v>
      </c>
      <c r="AP13">
        <f t="shared" si="5"/>
        <v>-6.69519999999999E-2</v>
      </c>
      <c r="AQ13">
        <f>SBC!I12</f>
        <v>2.06</v>
      </c>
      <c r="AR13">
        <f t="shared" si="0"/>
        <v>1.62563549001615</v>
      </c>
    </row>
    <row r="14" spans="1:44" x14ac:dyDescent="0.3">
      <c r="A14">
        <v>12</v>
      </c>
      <c r="B14">
        <v>11</v>
      </c>
      <c r="C14">
        <v>12</v>
      </c>
      <c r="D14">
        <v>1</v>
      </c>
      <c r="E14">
        <v>2147483647</v>
      </c>
      <c r="F14">
        <v>0.87</v>
      </c>
      <c r="G14">
        <v>1</v>
      </c>
      <c r="H14">
        <v>0.871201</v>
      </c>
      <c r="I14">
        <v>0.871201</v>
      </c>
      <c r="J14">
        <v>0</v>
      </c>
      <c r="K14">
        <v>0</v>
      </c>
      <c r="L14">
        <v>1.09693620241977</v>
      </c>
      <c r="M14">
        <v>3.9441408421491599E-3</v>
      </c>
      <c r="N14">
        <v>1.79979966850016</v>
      </c>
      <c r="O14">
        <v>4.5561254830388098E-3</v>
      </c>
      <c r="P14">
        <v>0.70286346608037598</v>
      </c>
      <c r="Q14">
        <v>1.00534489275995E-3</v>
      </c>
      <c r="R14">
        <v>1.1706780000000001</v>
      </c>
      <c r="S14">
        <v>4.2670499890085697E-3</v>
      </c>
      <c r="T14">
        <v>1.8835999999999999</v>
      </c>
      <c r="U14">
        <v>4.9015608980630199E-3</v>
      </c>
      <c r="V14">
        <v>0.71292199999999994</v>
      </c>
      <c r="W14">
        <v>1.1653007982238401E-3</v>
      </c>
      <c r="X14">
        <v>0.871201</v>
      </c>
      <c r="Y14">
        <v>1.79920573879642</v>
      </c>
      <c r="Z14">
        <v>2.7992852231171699</v>
      </c>
      <c r="AA14">
        <v>0.72258199999999995</v>
      </c>
      <c r="AB14">
        <v>1.02074130845042</v>
      </c>
      <c r="AC14">
        <v>2.02197860319494</v>
      </c>
      <c r="AD14">
        <v>0.70099599999999995</v>
      </c>
      <c r="AE14">
        <v>0.87060677045233603</v>
      </c>
      <c r="AF14">
        <v>1.82949797557753</v>
      </c>
      <c r="AH14" s="7">
        <f>SBC!D13</f>
        <v>0.7</v>
      </c>
      <c r="AI14" s="7">
        <f t="shared" si="6"/>
        <v>4.2</v>
      </c>
      <c r="AJ14" s="7">
        <f t="shared" si="1"/>
        <v>0.70099599999999995</v>
      </c>
      <c r="AK14" s="7">
        <f t="shared" si="7"/>
        <v>4.1340439999999994</v>
      </c>
      <c r="AL14" s="7">
        <f t="shared" si="2"/>
        <v>-6.5956000000000792E-2</v>
      </c>
      <c r="AM14">
        <f>SBC!K13</f>
        <v>0.69</v>
      </c>
      <c r="AN14">
        <f t="shared" si="3"/>
        <v>1.0996000000000006E-2</v>
      </c>
      <c r="AO14">
        <f t="shared" si="4"/>
        <v>0.2300000000000002</v>
      </c>
      <c r="AP14">
        <f t="shared" si="5"/>
        <v>-6.5955999999999904E-2</v>
      </c>
      <c r="AQ14">
        <f>SBC!I13</f>
        <v>2.2599999999999998</v>
      </c>
      <c r="AR14">
        <f t="shared" si="0"/>
        <v>1.79979966850016</v>
      </c>
    </row>
    <row r="15" spans="1:44" x14ac:dyDescent="0.3">
      <c r="A15">
        <v>13</v>
      </c>
      <c r="B15">
        <v>12</v>
      </c>
      <c r="C15">
        <v>13</v>
      </c>
      <c r="D15">
        <v>1</v>
      </c>
      <c r="E15">
        <v>2147483647</v>
      </c>
      <c r="F15">
        <v>0.88</v>
      </c>
      <c r="G15">
        <v>1</v>
      </c>
      <c r="H15">
        <v>0.87924999999999998</v>
      </c>
      <c r="I15">
        <v>0.87924999999999998</v>
      </c>
      <c r="J15">
        <v>0</v>
      </c>
      <c r="K15">
        <v>0</v>
      </c>
      <c r="L15">
        <v>1.2415168995067201</v>
      </c>
      <c r="M15">
        <v>4.3158518218564101E-3</v>
      </c>
      <c r="N15">
        <v>1.96313699308805</v>
      </c>
      <c r="O15">
        <v>4.9051169962323303E-3</v>
      </c>
      <c r="P15">
        <v>0.72162009358129497</v>
      </c>
      <c r="Q15" s="2">
        <v>9.8860445345705611E-4</v>
      </c>
      <c r="R15">
        <v>1.3117270000000001</v>
      </c>
      <c r="S15">
        <v>4.6240571934175103E-3</v>
      </c>
      <c r="T15">
        <v>2.0416609999999999</v>
      </c>
      <c r="U15">
        <v>5.2336131592704803E-3</v>
      </c>
      <c r="V15">
        <v>0.72993399999999997</v>
      </c>
      <c r="W15">
        <v>1.1436518380261E-3</v>
      </c>
      <c r="X15">
        <v>0.87924999999999998</v>
      </c>
      <c r="Y15">
        <v>1.9614701076646099</v>
      </c>
      <c r="Z15">
        <v>2.96204617986078</v>
      </c>
      <c r="AA15">
        <v>0.738201</v>
      </c>
      <c r="AB15">
        <v>1.1735921052190601</v>
      </c>
      <c r="AC15">
        <v>2.17318873422751</v>
      </c>
      <c r="AD15">
        <v>0.72118899999999997</v>
      </c>
      <c r="AE15">
        <v>1.0252544262646801</v>
      </c>
      <c r="AF15">
        <v>1.99632287054725</v>
      </c>
      <c r="AH15" s="7">
        <f>SBC!D14</f>
        <v>0.7</v>
      </c>
      <c r="AI15" s="7">
        <f t="shared" si="6"/>
        <v>4.9000000000000004</v>
      </c>
      <c r="AJ15" s="7">
        <f t="shared" si="1"/>
        <v>0.72118899999999997</v>
      </c>
      <c r="AK15" s="7">
        <f t="shared" si="7"/>
        <v>4.8552329999999992</v>
      </c>
      <c r="AL15" s="7">
        <f t="shared" si="2"/>
        <v>-4.4767000000001111E-2</v>
      </c>
      <c r="AM15">
        <f>SBC!K14</f>
        <v>0.71</v>
      </c>
      <c r="AN15">
        <f t="shared" si="3"/>
        <v>1.1189000000000004E-2</v>
      </c>
      <c r="AO15">
        <f t="shared" si="4"/>
        <v>0.24000000000000021</v>
      </c>
      <c r="AP15">
        <f t="shared" si="5"/>
        <v>-4.476699999999989E-2</v>
      </c>
      <c r="AQ15">
        <f>SBC!I14</f>
        <v>2.4500000000000002</v>
      </c>
      <c r="AR15">
        <f t="shared" si="0"/>
        <v>1.96313699308805</v>
      </c>
    </row>
    <row r="16" spans="1:44" x14ac:dyDescent="0.3">
      <c r="A16">
        <v>14</v>
      </c>
      <c r="B16">
        <v>13</v>
      </c>
      <c r="C16">
        <v>14</v>
      </c>
      <c r="D16">
        <v>1</v>
      </c>
      <c r="E16">
        <v>2147483647</v>
      </c>
      <c r="F16">
        <v>0.89</v>
      </c>
      <c r="G16">
        <v>1</v>
      </c>
      <c r="H16">
        <v>0.88955399999999996</v>
      </c>
      <c r="I16">
        <v>0.88955399999999996</v>
      </c>
      <c r="J16">
        <v>0</v>
      </c>
      <c r="K16">
        <v>0</v>
      </c>
      <c r="L16">
        <v>1.38123752583285</v>
      </c>
      <c r="M16">
        <v>4.6672268938666803E-3</v>
      </c>
      <c r="N16">
        <v>2.1186553766579599</v>
      </c>
      <c r="O16">
        <v>5.2358861559309699E-3</v>
      </c>
      <c r="P16">
        <v>0.73741785082518096</v>
      </c>
      <c r="Q16" s="2">
        <v>9.7211401095547399E-4</v>
      </c>
      <c r="R16">
        <v>1.4486680000000001</v>
      </c>
      <c r="S16">
        <v>4.9612338194387302E-3</v>
      </c>
      <c r="T16">
        <v>2.193346</v>
      </c>
      <c r="U16">
        <v>5.5482916697348903E-3</v>
      </c>
      <c r="V16">
        <v>0.74467799999999995</v>
      </c>
      <c r="W16">
        <v>1.12316991049088E-3</v>
      </c>
      <c r="X16">
        <v>0.88955399999999996</v>
      </c>
      <c r="Y16">
        <v>2.1177115333777201</v>
      </c>
      <c r="Z16">
        <v>3.1170375231452301</v>
      </c>
      <c r="AA16">
        <v>0.75261299999999998</v>
      </c>
      <c r="AB16">
        <v>1.31395410426009</v>
      </c>
      <c r="AC16">
        <v>2.3124023276452998</v>
      </c>
      <c r="AD16">
        <v>0.737869</v>
      </c>
      <c r="AE16">
        <v>1.1726673994516501</v>
      </c>
      <c r="AF16">
        <v>2.1490858754675699</v>
      </c>
      <c r="AH16" s="7">
        <f>SBC!D15</f>
        <v>0.7</v>
      </c>
      <c r="AI16" s="7">
        <f t="shared" si="6"/>
        <v>5.6000000000000005</v>
      </c>
      <c r="AJ16" s="7">
        <f t="shared" si="1"/>
        <v>0.737869</v>
      </c>
      <c r="AK16" s="7">
        <f t="shared" si="7"/>
        <v>5.5931019999999991</v>
      </c>
      <c r="AL16" s="7">
        <f t="shared" si="2"/>
        <v>-6.898000000001403E-3</v>
      </c>
      <c r="AM16">
        <f>SBC!K15</f>
        <v>0.72</v>
      </c>
      <c r="AN16">
        <f t="shared" si="3"/>
        <v>1.7869000000000024E-2</v>
      </c>
      <c r="AO16">
        <f t="shared" si="4"/>
        <v>0.26000000000000023</v>
      </c>
      <c r="AP16">
        <f t="shared" si="5"/>
        <v>-6.8979999999998487E-3</v>
      </c>
      <c r="AQ16">
        <f>SBC!I15</f>
        <v>2.62</v>
      </c>
      <c r="AR16">
        <f t="shared" si="0"/>
        <v>2.1186553766579599</v>
      </c>
    </row>
    <row r="17" spans="1:44" x14ac:dyDescent="0.3">
      <c r="A17">
        <v>15</v>
      </c>
      <c r="B17">
        <v>14</v>
      </c>
      <c r="C17">
        <v>15</v>
      </c>
      <c r="D17">
        <v>1</v>
      </c>
      <c r="E17">
        <v>2147483647</v>
      </c>
      <c r="F17">
        <v>0.89</v>
      </c>
      <c r="G17">
        <v>1</v>
      </c>
      <c r="H17">
        <v>0.88836199999999999</v>
      </c>
      <c r="I17">
        <v>0.88836199999999999</v>
      </c>
      <c r="J17">
        <v>0</v>
      </c>
      <c r="K17">
        <v>0</v>
      </c>
      <c r="L17">
        <v>1.5129004171535301</v>
      </c>
      <c r="M17">
        <v>4.9996958376094299E-3</v>
      </c>
      <c r="N17">
        <v>2.2631740330790402</v>
      </c>
      <c r="O17">
        <v>5.5502438776650898E-3</v>
      </c>
      <c r="P17">
        <v>0.75027361592560904</v>
      </c>
      <c r="Q17" s="2">
        <v>9.5765633412938495E-4</v>
      </c>
      <c r="R17">
        <v>1.5754079999999999</v>
      </c>
      <c r="S17">
        <v>5.2776910991704003E-3</v>
      </c>
      <c r="T17">
        <v>2.330314</v>
      </c>
      <c r="U17">
        <v>5.8485386514518997E-3</v>
      </c>
      <c r="V17">
        <v>0.75490599999999997</v>
      </c>
      <c r="W17">
        <v>1.10797473666641E-3</v>
      </c>
      <c r="X17">
        <v>0.88836199999999999</v>
      </c>
      <c r="Y17">
        <v>2.2676542385254699</v>
      </c>
      <c r="Z17">
        <v>3.2679891761887201</v>
      </c>
      <c r="AA17">
        <v>0.76162200000000002</v>
      </c>
      <c r="AB17">
        <v>1.4538377346847</v>
      </c>
      <c r="AC17">
        <v>2.4544494339292999</v>
      </c>
      <c r="AD17">
        <v>0.75139400000000001</v>
      </c>
      <c r="AE17">
        <v>1.3139081213053601</v>
      </c>
      <c r="AF17">
        <v>2.2950742938600399</v>
      </c>
      <c r="AH17" s="7">
        <f>SBC!D16</f>
        <v>0.7</v>
      </c>
      <c r="AI17" s="7">
        <f t="shared" si="6"/>
        <v>6.3000000000000007</v>
      </c>
      <c r="AJ17" s="7">
        <f t="shared" si="1"/>
        <v>0.75139400000000001</v>
      </c>
      <c r="AK17" s="7">
        <f t="shared" si="7"/>
        <v>6.3444959999999995</v>
      </c>
      <c r="AL17" s="7">
        <f t="shared" si="2"/>
        <v>4.4495999999998759E-2</v>
      </c>
      <c r="AM17">
        <f>SBC!K16</f>
        <v>0.74</v>
      </c>
      <c r="AN17">
        <f t="shared" si="3"/>
        <v>1.1394000000000015E-2</v>
      </c>
      <c r="AO17">
        <f t="shared" si="4"/>
        <v>0.30000000000000027</v>
      </c>
      <c r="AP17">
        <f t="shared" si="5"/>
        <v>4.4496000000000202E-2</v>
      </c>
      <c r="AQ17">
        <f>SBC!I16</f>
        <v>2.79</v>
      </c>
      <c r="AR17">
        <f t="shared" si="0"/>
        <v>2.2631740330790402</v>
      </c>
    </row>
    <row r="18" spans="1:44" x14ac:dyDescent="0.3">
      <c r="A18">
        <v>16</v>
      </c>
      <c r="B18">
        <v>15</v>
      </c>
      <c r="C18">
        <v>16</v>
      </c>
      <c r="D18">
        <v>1</v>
      </c>
      <c r="E18">
        <v>2147483647</v>
      </c>
      <c r="F18">
        <v>0.9</v>
      </c>
      <c r="G18">
        <v>1</v>
      </c>
      <c r="H18">
        <v>0.89953000000000005</v>
      </c>
      <c r="I18">
        <v>0.89953000000000005</v>
      </c>
      <c r="J18">
        <v>0</v>
      </c>
      <c r="K18">
        <v>0</v>
      </c>
      <c r="L18">
        <v>1.6393216696338699</v>
      </c>
      <c r="M18">
        <v>5.3115616869065796E-3</v>
      </c>
      <c r="N18">
        <v>2.40073910919658</v>
      </c>
      <c r="O18">
        <v>5.8458783480832902E-3</v>
      </c>
      <c r="P18">
        <v>0.76141743956262498</v>
      </c>
      <c r="Q18" s="2">
        <v>9.4422319378537805E-4</v>
      </c>
      <c r="R18">
        <v>1.702655</v>
      </c>
      <c r="S18">
        <v>5.5827028002894703E-3</v>
      </c>
      <c r="T18">
        <v>2.469446</v>
      </c>
      <c r="U18">
        <v>6.1336886021865697E-3</v>
      </c>
      <c r="V18">
        <v>0.766791</v>
      </c>
      <c r="W18">
        <v>1.0892516747364801E-3</v>
      </c>
      <c r="X18">
        <v>0.89953000000000005</v>
      </c>
      <c r="Y18">
        <v>2.3976848798822901</v>
      </c>
      <c r="Z18">
        <v>3.3966632095689899</v>
      </c>
      <c r="AA18">
        <v>0.77228300000000005</v>
      </c>
      <c r="AB18">
        <v>1.5808289444538699</v>
      </c>
      <c r="AC18">
        <v>2.5814425096732498</v>
      </c>
      <c r="AD18">
        <v>0.76039800000000002</v>
      </c>
      <c r="AE18">
        <v>1.45160534259607</v>
      </c>
      <c r="AF18">
        <v>2.43569438135283</v>
      </c>
      <c r="AH18" s="7">
        <f>SBC!D17</f>
        <v>0.7</v>
      </c>
      <c r="AI18" s="7">
        <f t="shared" si="6"/>
        <v>7.0000000000000009</v>
      </c>
      <c r="AJ18" s="7">
        <f t="shared" si="1"/>
        <v>0.76039800000000002</v>
      </c>
      <c r="AK18" s="7">
        <f t="shared" si="7"/>
        <v>7.1048939999999998</v>
      </c>
      <c r="AL18" s="7">
        <f t="shared" si="2"/>
        <v>0.10489399999999893</v>
      </c>
      <c r="AM18">
        <f>SBC!K17</f>
        <v>0.75</v>
      </c>
      <c r="AN18">
        <f t="shared" si="3"/>
        <v>1.0398000000000018E-2</v>
      </c>
      <c r="AO18">
        <f t="shared" si="4"/>
        <v>0.35000000000000031</v>
      </c>
      <c r="AP18">
        <f t="shared" si="5"/>
        <v>0.10489400000000026</v>
      </c>
      <c r="AQ18">
        <f>SBC!I17</f>
        <v>2.95</v>
      </c>
      <c r="AR18">
        <f t="shared" si="0"/>
        <v>2.40073910919658</v>
      </c>
    </row>
    <row r="19" spans="1:44" x14ac:dyDescent="0.3">
      <c r="A19">
        <v>17</v>
      </c>
      <c r="B19">
        <v>16</v>
      </c>
      <c r="C19">
        <v>17</v>
      </c>
      <c r="D19">
        <v>1</v>
      </c>
      <c r="E19">
        <v>2147483647</v>
      </c>
      <c r="F19">
        <v>0.9</v>
      </c>
      <c r="G19">
        <v>1</v>
      </c>
      <c r="H19">
        <v>0.89990700000000001</v>
      </c>
      <c r="I19">
        <v>0.89990700000000001</v>
      </c>
      <c r="J19">
        <v>0</v>
      </c>
      <c r="K19">
        <v>0</v>
      </c>
      <c r="L19">
        <v>1.7626762035282799</v>
      </c>
      <c r="M19">
        <v>5.6085460610298798E-3</v>
      </c>
      <c r="N19">
        <v>2.5340916074926598</v>
      </c>
      <c r="O19">
        <v>6.1281247909308204E-3</v>
      </c>
      <c r="P19">
        <v>0.77141540396448904</v>
      </c>
      <c r="Q19" s="2">
        <v>9.3134342326719197E-4</v>
      </c>
      <c r="R19">
        <v>1.8216600000000001</v>
      </c>
      <c r="S19">
        <v>5.8620820652765604E-3</v>
      </c>
      <c r="T19">
        <v>2.5972629999999999</v>
      </c>
      <c r="U19">
        <v>6.39868139485211E-3</v>
      </c>
      <c r="V19">
        <v>0.77560300000000004</v>
      </c>
      <c r="W19">
        <v>1.0745963050547E-3</v>
      </c>
      <c r="X19">
        <v>0.89990700000000001</v>
      </c>
      <c r="Y19">
        <v>2.5307937938804801</v>
      </c>
      <c r="Z19">
        <v>3.5326226315855398</v>
      </c>
      <c r="AA19">
        <v>0.78090199999999999</v>
      </c>
      <c r="AB19">
        <v>1.7092535799663899</v>
      </c>
      <c r="AC19">
        <v>2.7083948934745998</v>
      </c>
      <c r="AD19">
        <v>0.77209000000000005</v>
      </c>
      <c r="AE19">
        <v>1.5834238831795</v>
      </c>
      <c r="AF19">
        <v>2.5699171004778099</v>
      </c>
      <c r="AH19" s="7">
        <f>SBC!D18</f>
        <v>0.7</v>
      </c>
      <c r="AI19" s="7">
        <f t="shared" si="6"/>
        <v>7.7000000000000011</v>
      </c>
      <c r="AJ19" s="7">
        <f t="shared" si="1"/>
        <v>0.77209000000000005</v>
      </c>
      <c r="AK19" s="7">
        <f t="shared" si="7"/>
        <v>7.8769840000000002</v>
      </c>
      <c r="AL19" s="7">
        <f t="shared" si="2"/>
        <v>0.17698399999999914</v>
      </c>
      <c r="AM19">
        <f>SBC!K18</f>
        <v>0.76</v>
      </c>
      <c r="AN19">
        <f t="shared" si="3"/>
        <v>1.2090000000000045E-2</v>
      </c>
      <c r="AO19">
        <f t="shared" si="4"/>
        <v>0.41000000000000036</v>
      </c>
      <c r="AP19">
        <f t="shared" si="5"/>
        <v>0.17698400000000036</v>
      </c>
      <c r="AQ19">
        <f>SBC!I18</f>
        <v>3.11</v>
      </c>
      <c r="AR19">
        <f t="shared" si="0"/>
        <v>2.5340916074926598</v>
      </c>
    </row>
    <row r="20" spans="1:44" x14ac:dyDescent="0.3">
      <c r="A20">
        <v>18</v>
      </c>
      <c r="B20">
        <v>17</v>
      </c>
      <c r="C20">
        <v>18</v>
      </c>
      <c r="D20">
        <v>1</v>
      </c>
      <c r="E20">
        <v>2147483647</v>
      </c>
      <c r="F20">
        <v>0.91</v>
      </c>
      <c r="G20">
        <v>1</v>
      </c>
      <c r="H20">
        <v>0.90902000000000005</v>
      </c>
      <c r="I20">
        <v>0.90902000000000005</v>
      </c>
      <c r="J20">
        <v>0</v>
      </c>
      <c r="K20">
        <v>0</v>
      </c>
      <c r="L20">
        <v>1.88182902327261</v>
      </c>
      <c r="M20">
        <v>5.8900616585404603E-3</v>
      </c>
      <c r="N20">
        <v>2.66186844632997</v>
      </c>
      <c r="O20">
        <v>6.3966269458205398E-3</v>
      </c>
      <c r="P20">
        <v>0.78003942305738005</v>
      </c>
      <c r="Q20" s="2">
        <v>9.1942067301101205E-4</v>
      </c>
      <c r="R20">
        <v>1.941058</v>
      </c>
      <c r="S20">
        <v>6.1395710558537096E-3</v>
      </c>
      <c r="T20">
        <v>2.7253479999999999</v>
      </c>
      <c r="U20">
        <v>6.6613028926260599E-3</v>
      </c>
      <c r="V20">
        <v>0.78429000000000004</v>
      </c>
      <c r="W20">
        <v>1.0594746206683799E-3</v>
      </c>
      <c r="X20">
        <v>0.90902000000000005</v>
      </c>
      <c r="Y20">
        <v>2.65788258724315</v>
      </c>
      <c r="Z20">
        <v>3.65784847685494</v>
      </c>
      <c r="AA20">
        <v>0.78962200000000005</v>
      </c>
      <c r="AB20">
        <v>1.82569721691848</v>
      </c>
      <c r="AC20">
        <v>2.82693748045057</v>
      </c>
      <c r="AD20">
        <v>0.78093500000000005</v>
      </c>
      <c r="AE20">
        <v>1.7053870270374201</v>
      </c>
      <c r="AF20">
        <v>2.6925113960628599</v>
      </c>
      <c r="AH20" s="7">
        <f>SBC!D19</f>
        <v>0.7</v>
      </c>
      <c r="AI20" s="7">
        <f t="shared" si="6"/>
        <v>8.4</v>
      </c>
      <c r="AJ20" s="7">
        <f t="shared" si="1"/>
        <v>0.78093500000000005</v>
      </c>
      <c r="AK20" s="7">
        <f t="shared" si="7"/>
        <v>8.6579189999999997</v>
      </c>
      <c r="AL20" s="7">
        <f t="shared" si="2"/>
        <v>0.25791899999999934</v>
      </c>
      <c r="AM20">
        <f>SBC!K19</f>
        <v>0.77</v>
      </c>
      <c r="AN20">
        <f t="shared" si="3"/>
        <v>1.0935000000000028E-2</v>
      </c>
      <c r="AO20">
        <f t="shared" si="4"/>
        <v>0.48000000000000043</v>
      </c>
      <c r="AP20">
        <f t="shared" si="5"/>
        <v>0.25791900000000045</v>
      </c>
      <c r="AQ20">
        <f>SBC!I19</f>
        <v>3.26</v>
      </c>
      <c r="AR20">
        <f t="shared" si="0"/>
        <v>2.66186844632997</v>
      </c>
    </row>
    <row r="21" spans="1:44" x14ac:dyDescent="0.3">
      <c r="A21">
        <v>19</v>
      </c>
      <c r="B21">
        <v>18</v>
      </c>
      <c r="C21">
        <v>19</v>
      </c>
      <c r="D21">
        <v>1</v>
      </c>
      <c r="E21">
        <v>2147483647</v>
      </c>
      <c r="F21">
        <v>0.91</v>
      </c>
      <c r="G21">
        <v>1</v>
      </c>
      <c r="H21">
        <v>0.91128699999999996</v>
      </c>
      <c r="I21">
        <v>0.91128699999999996</v>
      </c>
      <c r="J21">
        <v>0</v>
      </c>
      <c r="K21">
        <v>0</v>
      </c>
      <c r="L21">
        <v>2.0000845875767599</v>
      </c>
      <c r="M21">
        <v>6.1644782245077199E-3</v>
      </c>
      <c r="N21">
        <v>2.7884695100626402</v>
      </c>
      <c r="O21">
        <v>6.6581672530080299E-3</v>
      </c>
      <c r="P21">
        <v>0.78838492248602599</v>
      </c>
      <c r="Q21" s="2">
        <v>9.0772859016204196E-4</v>
      </c>
      <c r="R21">
        <v>2.0576300000000001</v>
      </c>
      <c r="S21">
        <v>6.4075951927876204E-3</v>
      </c>
      <c r="T21">
        <v>2.849396</v>
      </c>
      <c r="U21">
        <v>6.9164208621322202E-3</v>
      </c>
      <c r="V21">
        <v>0.79176599999999997</v>
      </c>
      <c r="W21">
        <v>1.0459027973934E-3</v>
      </c>
      <c r="X21">
        <v>0.91128699999999996</v>
      </c>
      <c r="Y21">
        <v>2.7909498493685199</v>
      </c>
      <c r="Z21">
        <v>3.79068510453172</v>
      </c>
      <c r="AA21">
        <v>0.79471499999999995</v>
      </c>
      <c r="AB21">
        <v>1.9443224001452</v>
      </c>
      <c r="AC21">
        <v>2.94278911303739</v>
      </c>
      <c r="AD21">
        <v>0.78723900000000002</v>
      </c>
      <c r="AE21">
        <v>1.8251356123155</v>
      </c>
      <c r="AF21">
        <v>2.8139704151376201</v>
      </c>
      <c r="AH21" s="7">
        <f>SBC!D20</f>
        <v>0.7</v>
      </c>
      <c r="AI21" s="7">
        <f t="shared" si="6"/>
        <v>9.1</v>
      </c>
      <c r="AJ21" s="7">
        <f t="shared" si="1"/>
        <v>0.78723900000000002</v>
      </c>
      <c r="AK21" s="7">
        <f t="shared" si="7"/>
        <v>9.4451579999999993</v>
      </c>
      <c r="AL21" s="7">
        <f t="shared" si="2"/>
        <v>0.34515799999999963</v>
      </c>
      <c r="AM21">
        <f>SBC!K20</f>
        <v>0.77</v>
      </c>
      <c r="AN21">
        <f t="shared" si="3"/>
        <v>1.7239000000000004E-2</v>
      </c>
      <c r="AO21">
        <f t="shared" si="4"/>
        <v>0.55000000000000049</v>
      </c>
      <c r="AP21">
        <f t="shared" si="5"/>
        <v>0.34515800000000052</v>
      </c>
      <c r="AQ21">
        <f>SBC!I20</f>
        <v>3.4</v>
      </c>
      <c r="AR21">
        <f t="shared" si="0"/>
        <v>2.7884695100626402</v>
      </c>
    </row>
    <row r="22" spans="1:44" x14ac:dyDescent="0.3">
      <c r="A22">
        <v>20</v>
      </c>
      <c r="B22">
        <v>19</v>
      </c>
      <c r="C22">
        <v>20</v>
      </c>
      <c r="D22">
        <v>1</v>
      </c>
      <c r="E22">
        <v>2147483647</v>
      </c>
      <c r="F22">
        <v>0.91</v>
      </c>
      <c r="G22">
        <v>1</v>
      </c>
      <c r="H22">
        <v>0.91010999999999997</v>
      </c>
      <c r="I22">
        <v>0.91010999999999997</v>
      </c>
      <c r="J22">
        <v>0</v>
      </c>
      <c r="K22">
        <v>0</v>
      </c>
      <c r="L22">
        <v>2.11201620214112</v>
      </c>
      <c r="M22">
        <v>6.4284847795324099E-3</v>
      </c>
      <c r="N22">
        <v>2.9070375657046301</v>
      </c>
      <c r="O22">
        <v>6.9113727657276504E-3</v>
      </c>
      <c r="P22">
        <v>0.79502136356350805</v>
      </c>
      <c r="Q22" s="2">
        <v>8.9772668425413605E-4</v>
      </c>
      <c r="R22">
        <v>2.1668400000000001</v>
      </c>
      <c r="S22">
        <v>6.6622899585222599E-3</v>
      </c>
      <c r="T22">
        <v>2.965303</v>
      </c>
      <c r="U22">
        <v>7.1588191675575202E-3</v>
      </c>
      <c r="V22">
        <v>0.79846300000000003</v>
      </c>
      <c r="W22">
        <v>1.0332891578521499E-3</v>
      </c>
      <c r="X22">
        <v>0.91010999999999997</v>
      </c>
      <c r="Y22">
        <v>2.9040763338180202</v>
      </c>
      <c r="Z22">
        <v>3.9029896286508201</v>
      </c>
      <c r="AA22">
        <v>0.80089999999999995</v>
      </c>
      <c r="AB22">
        <v>2.0604125435846399</v>
      </c>
      <c r="AC22">
        <v>3.06001130025146</v>
      </c>
      <c r="AD22">
        <v>0.79420299999999999</v>
      </c>
      <c r="AE22">
        <v>1.94428793264556</v>
      </c>
      <c r="AF22">
        <v>2.9346753302330502</v>
      </c>
      <c r="AH22" s="7">
        <f>SBC!D21</f>
        <v>0.7</v>
      </c>
      <c r="AI22" s="7">
        <f t="shared" si="6"/>
        <v>9.7999999999999989</v>
      </c>
      <c r="AJ22" s="7">
        <f t="shared" si="1"/>
        <v>0.79420299999999999</v>
      </c>
      <c r="AK22" s="7">
        <f t="shared" si="7"/>
        <v>10.239360999999999</v>
      </c>
      <c r="AL22" s="7">
        <f t="shared" si="2"/>
        <v>0.43936099999999989</v>
      </c>
      <c r="AM22">
        <f>SBC!K21</f>
        <v>0.78</v>
      </c>
      <c r="AN22">
        <f t="shared" si="3"/>
        <v>1.4202999999999966E-2</v>
      </c>
      <c r="AO22">
        <f t="shared" si="4"/>
        <v>0.63000000000000056</v>
      </c>
      <c r="AP22">
        <f t="shared" si="5"/>
        <v>0.43936100000000056</v>
      </c>
      <c r="AQ22">
        <f>SBC!I21</f>
        <v>3.54</v>
      </c>
      <c r="AR22">
        <f t="shared" si="0"/>
        <v>2.9070375657046301</v>
      </c>
    </row>
    <row r="23" spans="1:44" x14ac:dyDescent="0.3">
      <c r="A23">
        <v>21</v>
      </c>
      <c r="B23">
        <v>20</v>
      </c>
      <c r="C23">
        <v>21</v>
      </c>
      <c r="D23">
        <v>1</v>
      </c>
      <c r="E23">
        <v>2147483647</v>
      </c>
      <c r="F23">
        <v>0.92</v>
      </c>
      <c r="G23">
        <v>1</v>
      </c>
      <c r="H23">
        <v>0.92086100000000004</v>
      </c>
      <c r="I23">
        <v>0.92086100000000004</v>
      </c>
      <c r="J23">
        <v>0</v>
      </c>
      <c r="K23">
        <v>0</v>
      </c>
      <c r="L23">
        <v>2.2226667292556401</v>
      </c>
      <c r="M23">
        <v>6.6833178049015797E-3</v>
      </c>
      <c r="N23">
        <v>3.02505478234196</v>
      </c>
      <c r="O23">
        <v>7.1534643246756596E-3</v>
      </c>
      <c r="P23">
        <v>0.80238805308634698</v>
      </c>
      <c r="Q23" s="2">
        <v>8.8531091261215104E-4</v>
      </c>
      <c r="R23">
        <v>2.2778149999999999</v>
      </c>
      <c r="S23">
        <v>6.9161817009289698E-3</v>
      </c>
      <c r="T23">
        <v>3.0832269999999999</v>
      </c>
      <c r="U23">
        <v>7.3996659768561799E-3</v>
      </c>
      <c r="V23">
        <v>0.80541200000000002</v>
      </c>
      <c r="W23">
        <v>1.01972755454466E-3</v>
      </c>
      <c r="X23">
        <v>0.92086100000000004</v>
      </c>
      <c r="Y23">
        <v>3.0284223958913898</v>
      </c>
      <c r="Z23">
        <v>4.0286224235733599</v>
      </c>
      <c r="AA23">
        <v>0.80988599999999999</v>
      </c>
      <c r="AB23">
        <v>2.1721740923880501</v>
      </c>
      <c r="AC23">
        <v>3.1736248422669502</v>
      </c>
      <c r="AD23">
        <v>0.80293700000000001</v>
      </c>
      <c r="AE23">
        <v>2.05929499421002</v>
      </c>
      <c r="AF23">
        <v>3.0512530294418898</v>
      </c>
      <c r="AH23" s="7">
        <f>SBC!D22</f>
        <v>0.7</v>
      </c>
      <c r="AI23" s="7">
        <f t="shared" si="6"/>
        <v>10.499999999999998</v>
      </c>
      <c r="AJ23" s="7">
        <f t="shared" si="1"/>
        <v>0.80293700000000001</v>
      </c>
      <c r="AK23" s="7">
        <f t="shared" si="7"/>
        <v>11.042297999999999</v>
      </c>
      <c r="AL23" s="7">
        <f t="shared" si="2"/>
        <v>0.54229800000000061</v>
      </c>
      <c r="AM23">
        <f>SBC!K22</f>
        <v>0.79</v>
      </c>
      <c r="AN23">
        <f t="shared" si="3"/>
        <v>1.2936999999999976E-2</v>
      </c>
      <c r="AO23">
        <f t="shared" si="4"/>
        <v>0.72000000000000064</v>
      </c>
      <c r="AP23">
        <f t="shared" si="5"/>
        <v>0.54229800000000061</v>
      </c>
      <c r="AQ23">
        <f>SBC!I22</f>
        <v>3.68</v>
      </c>
      <c r="AR23">
        <f t="shared" si="0"/>
        <v>3.02505478234196</v>
      </c>
    </row>
    <row r="24" spans="1:44" x14ac:dyDescent="0.3">
      <c r="A24">
        <v>22</v>
      </c>
      <c r="B24">
        <v>21</v>
      </c>
      <c r="C24">
        <v>22</v>
      </c>
      <c r="D24">
        <v>1</v>
      </c>
      <c r="E24">
        <v>2147483647</v>
      </c>
      <c r="F24">
        <v>0.92</v>
      </c>
      <c r="G24">
        <v>1</v>
      </c>
      <c r="H24">
        <v>0.92102700000000004</v>
      </c>
      <c r="I24">
        <v>0.92102700000000004</v>
      </c>
      <c r="J24">
        <v>0</v>
      </c>
      <c r="K24">
        <v>0</v>
      </c>
      <c r="L24">
        <v>2.3315499423293899</v>
      </c>
      <c r="M24">
        <v>6.93444048599567E-3</v>
      </c>
      <c r="N24">
        <v>3.1398857697393798</v>
      </c>
      <c r="O24">
        <v>7.3946681319090697E-3</v>
      </c>
      <c r="P24">
        <v>0.80833582741003995</v>
      </c>
      <c r="Q24" s="2">
        <v>8.7655856113406699E-4</v>
      </c>
      <c r="R24">
        <v>2.3832270000000002</v>
      </c>
      <c r="S24">
        <v>7.1593932820819897E-3</v>
      </c>
      <c r="T24">
        <v>3.1947540000000001</v>
      </c>
      <c r="U24">
        <v>7.6310006610298704E-3</v>
      </c>
      <c r="V24">
        <v>0.811527</v>
      </c>
      <c r="W24">
        <v>1.0073795680419001E-3</v>
      </c>
      <c r="X24">
        <v>0.92102700000000004</v>
      </c>
      <c r="Y24">
        <v>3.1390699592646598</v>
      </c>
      <c r="Z24">
        <v>4.1370036989849197</v>
      </c>
      <c r="AA24">
        <v>0.81561499999999998</v>
      </c>
      <c r="AB24">
        <v>2.2830515657171602</v>
      </c>
      <c r="AC24">
        <v>3.2822770355662798</v>
      </c>
      <c r="AD24">
        <v>0.8095</v>
      </c>
      <c r="AE24">
        <v>2.1750465862394699</v>
      </c>
      <c r="AF24">
        <v>3.16640721863011</v>
      </c>
      <c r="AH24" s="7">
        <f>SBC!D23</f>
        <v>0.7</v>
      </c>
      <c r="AI24" s="7">
        <f t="shared" si="6"/>
        <v>11.199999999999998</v>
      </c>
      <c r="AJ24" s="7">
        <f t="shared" si="1"/>
        <v>0.8095</v>
      </c>
      <c r="AK24" s="7">
        <f t="shared" si="7"/>
        <v>11.851797999999999</v>
      </c>
      <c r="AL24" s="7">
        <f t="shared" si="2"/>
        <v>0.65179800000000121</v>
      </c>
      <c r="AM24">
        <f>SBC!K23</f>
        <v>0.79</v>
      </c>
      <c r="AN24">
        <f t="shared" si="3"/>
        <v>1.9499999999999962E-2</v>
      </c>
      <c r="AO24">
        <f t="shared" si="4"/>
        <v>0.81000000000000072</v>
      </c>
      <c r="AP24">
        <f t="shared" si="5"/>
        <v>0.65179800000000054</v>
      </c>
      <c r="AQ24">
        <f>SBC!I23</f>
        <v>3.81</v>
      </c>
      <c r="AR24">
        <f t="shared" si="0"/>
        <v>3.1398857697393798</v>
      </c>
    </row>
    <row r="25" spans="1:44" x14ac:dyDescent="0.3">
      <c r="A25">
        <v>23</v>
      </c>
      <c r="B25">
        <v>22</v>
      </c>
      <c r="C25">
        <v>23</v>
      </c>
      <c r="D25">
        <v>1</v>
      </c>
      <c r="E25">
        <v>2147483647</v>
      </c>
      <c r="F25">
        <v>0.92</v>
      </c>
      <c r="G25">
        <v>1</v>
      </c>
      <c r="H25">
        <v>0.91991199999999995</v>
      </c>
      <c r="I25">
        <v>0.91991199999999995</v>
      </c>
      <c r="J25">
        <v>0</v>
      </c>
      <c r="K25">
        <v>0</v>
      </c>
      <c r="L25">
        <v>2.4342176559470499</v>
      </c>
      <c r="M25">
        <v>7.1762276363958304E-3</v>
      </c>
      <c r="N25">
        <v>3.2479776555900499</v>
      </c>
      <c r="O25">
        <v>7.6265950290136603E-3</v>
      </c>
      <c r="P25">
        <v>0.81375999964297896</v>
      </c>
      <c r="Q25" s="2">
        <v>8.67175280874861E-4</v>
      </c>
      <c r="R25">
        <v>2.4845009999999998</v>
      </c>
      <c r="S25">
        <v>7.3950385046230201E-3</v>
      </c>
      <c r="T25">
        <v>3.3006600000000001</v>
      </c>
      <c r="U25">
        <v>7.8576801492400601E-3</v>
      </c>
      <c r="V25">
        <v>0.81615899999999997</v>
      </c>
      <c r="W25" s="2">
        <v>9.9775899897583896E-4</v>
      </c>
      <c r="X25">
        <v>0.91991199999999995</v>
      </c>
      <c r="Y25">
        <v>3.2474556558655401</v>
      </c>
      <c r="Z25">
        <v>4.2464346507829802</v>
      </c>
      <c r="AA25">
        <v>0.81863799999999998</v>
      </c>
      <c r="AB25">
        <v>2.38616474561463</v>
      </c>
      <c r="AC25">
        <v>3.3854340003538099</v>
      </c>
      <c r="AD25">
        <v>0.81400600000000001</v>
      </c>
      <c r="AE25">
        <v>2.2781991212463701</v>
      </c>
      <c r="AF25">
        <v>3.2706726924474201</v>
      </c>
      <c r="AH25" s="7">
        <f>SBC!D24</f>
        <v>0.7</v>
      </c>
      <c r="AI25" s="7">
        <f t="shared" si="6"/>
        <v>11.899999999999997</v>
      </c>
      <c r="AJ25" s="7">
        <f t="shared" si="1"/>
        <v>0.81400600000000001</v>
      </c>
      <c r="AK25" s="7">
        <f t="shared" si="7"/>
        <v>12.665803999999998</v>
      </c>
      <c r="AL25" s="7">
        <f t="shared" si="2"/>
        <v>0.76580400000000104</v>
      </c>
      <c r="AM25">
        <f>SBC!K24</f>
        <v>0.8</v>
      </c>
      <c r="AN25">
        <f t="shared" si="3"/>
        <v>1.4005999999999963E-2</v>
      </c>
      <c r="AO25">
        <f t="shared" si="4"/>
        <v>0.91000000000000081</v>
      </c>
      <c r="AP25">
        <f t="shared" si="5"/>
        <v>0.7658040000000006</v>
      </c>
      <c r="AQ25">
        <f>SBC!I24</f>
        <v>3.94</v>
      </c>
      <c r="AR25">
        <f t="shared" si="0"/>
        <v>3.2479776555900499</v>
      </c>
    </row>
    <row r="26" spans="1:44" x14ac:dyDescent="0.3">
      <c r="A26">
        <v>24</v>
      </c>
      <c r="B26">
        <v>23</v>
      </c>
      <c r="C26">
        <v>24</v>
      </c>
      <c r="D26">
        <v>1</v>
      </c>
      <c r="E26">
        <v>2147483647</v>
      </c>
      <c r="F26">
        <v>0.92</v>
      </c>
      <c r="G26">
        <v>1</v>
      </c>
      <c r="H26">
        <v>0.92046600000000001</v>
      </c>
      <c r="I26">
        <v>0.92046600000000001</v>
      </c>
      <c r="J26">
        <v>0</v>
      </c>
      <c r="K26">
        <v>0</v>
      </c>
      <c r="L26">
        <v>2.5332867738276401</v>
      </c>
      <c r="M26">
        <v>7.4066500519095997E-3</v>
      </c>
      <c r="N26">
        <v>3.3516328732436</v>
      </c>
      <c r="O26">
        <v>7.8488803028505406E-3</v>
      </c>
      <c r="P26">
        <v>0.81834609941583603</v>
      </c>
      <c r="Q26" s="2">
        <v>8.5980133296714603E-4</v>
      </c>
      <c r="R26">
        <v>2.5824820000000002</v>
      </c>
      <c r="S26">
        <v>7.6166121430278604E-3</v>
      </c>
      <c r="T26">
        <v>3.4031720000000001</v>
      </c>
      <c r="U26">
        <v>8.0705596404967907E-3</v>
      </c>
      <c r="V26">
        <v>0.82069000000000003</v>
      </c>
      <c r="W26" s="2">
        <v>9.8811821615505595E-4</v>
      </c>
      <c r="X26">
        <v>0.92046600000000001</v>
      </c>
      <c r="Y26">
        <v>3.3482466620058</v>
      </c>
      <c r="Z26">
        <v>4.3485764805165399</v>
      </c>
      <c r="AA26">
        <v>0.82248500000000002</v>
      </c>
      <c r="AB26">
        <v>2.4936559895158998</v>
      </c>
      <c r="AC26">
        <v>3.4935840936746101</v>
      </c>
      <c r="AD26">
        <v>0.81795399999999996</v>
      </c>
      <c r="AE26">
        <v>2.3905428559686501</v>
      </c>
      <c r="AF26">
        <v>3.3834004444646202</v>
      </c>
      <c r="AH26" s="7">
        <f>SBC!D25</f>
        <v>0.7</v>
      </c>
      <c r="AI26" s="7">
        <f t="shared" si="6"/>
        <v>12.599999999999996</v>
      </c>
      <c r="AJ26" s="7">
        <f t="shared" si="1"/>
        <v>0.81795399999999996</v>
      </c>
      <c r="AK26" s="7">
        <f t="shared" si="7"/>
        <v>13.483757999999998</v>
      </c>
      <c r="AL26" s="7">
        <f t="shared" si="2"/>
        <v>0.88375800000000204</v>
      </c>
      <c r="AM26">
        <f>SBC!K25</f>
        <v>0.8</v>
      </c>
      <c r="AN26">
        <f t="shared" si="3"/>
        <v>1.7953999999999914E-2</v>
      </c>
      <c r="AO26">
        <f t="shared" si="4"/>
        <v>1.0100000000000009</v>
      </c>
      <c r="AP26">
        <f t="shared" si="5"/>
        <v>0.88375800000000049</v>
      </c>
      <c r="AQ26">
        <f>SBC!I25</f>
        <v>4.0599999999999996</v>
      </c>
      <c r="AR26">
        <f t="shared" si="0"/>
        <v>3.3516328732436</v>
      </c>
    </row>
    <row r="27" spans="1:44" x14ac:dyDescent="0.3">
      <c r="A27">
        <v>25</v>
      </c>
      <c r="B27">
        <v>24</v>
      </c>
      <c r="C27">
        <v>25</v>
      </c>
      <c r="D27">
        <v>1</v>
      </c>
      <c r="E27">
        <v>2147483647</v>
      </c>
      <c r="F27">
        <v>0.92</v>
      </c>
      <c r="G27">
        <v>1</v>
      </c>
      <c r="H27">
        <v>0.92087699999999995</v>
      </c>
      <c r="I27">
        <v>0.92087699999999995</v>
      </c>
      <c r="J27">
        <v>0</v>
      </c>
      <c r="K27">
        <v>0</v>
      </c>
      <c r="L27">
        <v>2.6298457196788698</v>
      </c>
      <c r="M27">
        <v>7.6309866718016596E-3</v>
      </c>
      <c r="N27">
        <v>3.4524352081927798</v>
      </c>
      <c r="O27">
        <v>8.0654447740192894E-3</v>
      </c>
      <c r="P27">
        <v>0.82258948851382696</v>
      </c>
      <c r="Q27" s="2">
        <v>8.5206059574029496E-4</v>
      </c>
      <c r="R27">
        <v>2.6766709999999998</v>
      </c>
      <c r="S27">
        <v>7.83929320503929E-3</v>
      </c>
      <c r="T27">
        <v>3.5010029999999999</v>
      </c>
      <c r="U27">
        <v>8.2858215060651903E-3</v>
      </c>
      <c r="V27">
        <v>0.82433199999999995</v>
      </c>
      <c r="W27" s="2">
        <v>9.8019952470224298E-4</v>
      </c>
      <c r="X27">
        <v>0.92087699999999995</v>
      </c>
      <c r="Y27">
        <v>3.45012110886648</v>
      </c>
      <c r="Z27">
        <v>4.4492848644976704</v>
      </c>
      <c r="AA27">
        <v>0.82668799999999998</v>
      </c>
      <c r="AB27">
        <v>2.5867615359572</v>
      </c>
      <c r="AC27">
        <v>3.58517459550897</v>
      </c>
      <c r="AD27">
        <v>0.82304600000000006</v>
      </c>
      <c r="AE27">
        <v>2.4865569506160798</v>
      </c>
      <c r="AF27">
        <v>3.4800509731643001</v>
      </c>
      <c r="AH27" s="7">
        <f>SBC!D26</f>
        <v>0.7</v>
      </c>
      <c r="AI27" s="7">
        <f t="shared" si="6"/>
        <v>13.299999999999995</v>
      </c>
      <c r="AJ27" s="7">
        <f t="shared" si="1"/>
        <v>0.82304600000000006</v>
      </c>
      <c r="AK27" s="7">
        <f t="shared" si="7"/>
        <v>14.306803999999998</v>
      </c>
      <c r="AL27" s="7">
        <f t="shared" si="2"/>
        <v>1.0068040000000025</v>
      </c>
      <c r="AM27">
        <f>SBC!K26</f>
        <v>0.81</v>
      </c>
      <c r="AN27">
        <f t="shared" si="3"/>
        <v>1.3046000000000002E-2</v>
      </c>
      <c r="AO27">
        <f t="shared" si="4"/>
        <v>1.120000000000001</v>
      </c>
      <c r="AP27">
        <f t="shared" si="5"/>
        <v>1.0068040000000005</v>
      </c>
      <c r="AQ27">
        <f>SBC!I26</f>
        <v>4.18</v>
      </c>
      <c r="AR27">
        <f t="shared" si="0"/>
        <v>3.4524352081927798</v>
      </c>
    </row>
    <row r="28" spans="1:44" x14ac:dyDescent="0.3">
      <c r="A28">
        <v>26</v>
      </c>
      <c r="B28">
        <v>25</v>
      </c>
      <c r="C28">
        <v>26</v>
      </c>
      <c r="D28">
        <v>1</v>
      </c>
      <c r="E28">
        <v>2147483647</v>
      </c>
      <c r="F28">
        <v>0.93</v>
      </c>
      <c r="G28">
        <v>1</v>
      </c>
      <c r="H28">
        <v>0.93176199999999998</v>
      </c>
      <c r="I28">
        <v>0.93176199999999998</v>
      </c>
      <c r="J28">
        <v>0</v>
      </c>
      <c r="K28">
        <v>0</v>
      </c>
      <c r="L28">
        <v>2.7260110702647502</v>
      </c>
      <c r="M28">
        <v>7.8480521083857807E-3</v>
      </c>
      <c r="N28">
        <v>3.5529327234180101</v>
      </c>
      <c r="O28">
        <v>8.2745213164075893E-3</v>
      </c>
      <c r="P28">
        <v>0.82692165315331401</v>
      </c>
      <c r="Q28" s="2">
        <v>8.4364833152523805E-4</v>
      </c>
      <c r="R28">
        <v>2.7751600000000001</v>
      </c>
      <c r="S28">
        <v>8.0507226454731694E-3</v>
      </c>
      <c r="T28">
        <v>3.6045379999999998</v>
      </c>
      <c r="U28">
        <v>8.4874219727877794E-3</v>
      </c>
      <c r="V28">
        <v>0.82937799999999995</v>
      </c>
      <c r="W28" s="2">
        <v>9.6897115603170102E-4</v>
      </c>
      <c r="X28">
        <v>0.93176199999999998</v>
      </c>
      <c r="Y28">
        <v>3.5442765265808598</v>
      </c>
      <c r="Z28">
        <v>4.5459417644514399</v>
      </c>
      <c r="AA28">
        <v>0.83327300000000004</v>
      </c>
      <c r="AB28">
        <v>2.6819129158433399</v>
      </c>
      <c r="AC28">
        <v>3.6822701092067498</v>
      </c>
      <c r="AD28">
        <v>0.82822700000000005</v>
      </c>
      <c r="AE28">
        <v>2.5862702978019501</v>
      </c>
      <c r="AF28">
        <v>3.5804111475890599</v>
      </c>
      <c r="AH28" s="7">
        <f>SBC!D27</f>
        <v>0.7</v>
      </c>
      <c r="AI28" s="7">
        <f t="shared" si="6"/>
        <v>13.999999999999995</v>
      </c>
      <c r="AJ28" s="7">
        <f t="shared" si="1"/>
        <v>0.82822700000000005</v>
      </c>
      <c r="AK28" s="7">
        <f t="shared" si="7"/>
        <v>15.135030999999998</v>
      </c>
      <c r="AL28" s="7">
        <f t="shared" si="2"/>
        <v>1.1350310000000032</v>
      </c>
      <c r="AM28">
        <f>SBC!K27</f>
        <v>0.81</v>
      </c>
      <c r="AN28">
        <f t="shared" si="3"/>
        <v>1.8226999999999993E-2</v>
      </c>
      <c r="AO28">
        <f t="shared" si="4"/>
        <v>1.2300000000000011</v>
      </c>
      <c r="AP28">
        <f t="shared" si="5"/>
        <v>1.1350310000000006</v>
      </c>
      <c r="AQ28">
        <f>SBC!I27</f>
        <v>4.3</v>
      </c>
      <c r="AR28">
        <f t="shared" si="0"/>
        <v>3.5529327234180101</v>
      </c>
    </row>
    <row r="29" spans="1:44" x14ac:dyDescent="0.3">
      <c r="A29">
        <v>27</v>
      </c>
      <c r="B29">
        <v>26</v>
      </c>
      <c r="C29">
        <v>27</v>
      </c>
      <c r="D29">
        <v>1</v>
      </c>
      <c r="E29">
        <v>2147483647</v>
      </c>
      <c r="F29">
        <v>0.93</v>
      </c>
      <c r="G29">
        <v>1</v>
      </c>
      <c r="H29">
        <v>0.92992200000000003</v>
      </c>
      <c r="I29">
        <v>0.92992200000000003</v>
      </c>
      <c r="J29">
        <v>0</v>
      </c>
      <c r="K29">
        <v>0</v>
      </c>
      <c r="L29">
        <v>2.8228918140537602</v>
      </c>
      <c r="M29">
        <v>8.0618064298243197E-3</v>
      </c>
      <c r="N29">
        <v>3.6543846021009898</v>
      </c>
      <c r="O29">
        <v>8.4798442009341099E-3</v>
      </c>
      <c r="P29">
        <v>0.831492788047412</v>
      </c>
      <c r="Q29" s="2">
        <v>8.3515127634335501E-4</v>
      </c>
      <c r="R29">
        <v>2.8687779999999998</v>
      </c>
      <c r="S29">
        <v>8.2609471296804897E-3</v>
      </c>
      <c r="T29">
        <v>3.7018749999999998</v>
      </c>
      <c r="U29">
        <v>8.6901947302488198E-3</v>
      </c>
      <c r="V29">
        <v>0.83309699999999998</v>
      </c>
      <c r="W29" s="2">
        <v>9.6049904270993603E-4</v>
      </c>
      <c r="X29">
        <v>0.92992200000000003</v>
      </c>
      <c r="Y29">
        <v>3.6552046289998201</v>
      </c>
      <c r="Z29">
        <v>4.6558517453613604</v>
      </c>
      <c r="AA29">
        <v>0.83630400000000005</v>
      </c>
      <c r="AB29">
        <v>2.7807686278560499</v>
      </c>
      <c r="AC29">
        <v>3.78040770638593</v>
      </c>
      <c r="AD29">
        <v>0.83258500000000002</v>
      </c>
      <c r="AE29">
        <v>2.6837001876123301</v>
      </c>
      <c r="AF29">
        <v>3.6780339875986199</v>
      </c>
      <c r="AH29" s="7">
        <f>SBC!D28</f>
        <v>0.7</v>
      </c>
      <c r="AI29" s="7">
        <f t="shared" si="6"/>
        <v>14.699999999999994</v>
      </c>
      <c r="AJ29" s="7">
        <f t="shared" si="1"/>
        <v>0.83258500000000002</v>
      </c>
      <c r="AK29" s="7">
        <f t="shared" si="7"/>
        <v>15.967615999999998</v>
      </c>
      <c r="AL29" s="7">
        <f t="shared" si="2"/>
        <v>1.2676160000000039</v>
      </c>
      <c r="AM29">
        <f>SBC!K28</f>
        <v>0.82</v>
      </c>
      <c r="AN29">
        <f t="shared" si="3"/>
        <v>1.2585000000000068E-2</v>
      </c>
      <c r="AO29">
        <f t="shared" si="4"/>
        <v>1.3500000000000012</v>
      </c>
      <c r="AP29">
        <f t="shared" si="5"/>
        <v>1.2676160000000005</v>
      </c>
      <c r="AQ29">
        <f>SBC!I28</f>
        <v>4.42</v>
      </c>
      <c r="AR29">
        <f t="shared" si="0"/>
        <v>3.6543846021009898</v>
      </c>
    </row>
    <row r="30" spans="1:44" x14ac:dyDescent="0.3">
      <c r="A30">
        <v>28</v>
      </c>
      <c r="B30">
        <v>27</v>
      </c>
      <c r="C30">
        <v>28</v>
      </c>
      <c r="D30">
        <v>1</v>
      </c>
      <c r="E30">
        <v>2147483647</v>
      </c>
      <c r="F30">
        <v>0.93</v>
      </c>
      <c r="G30">
        <v>1</v>
      </c>
      <c r="H30">
        <v>0.93010599999999999</v>
      </c>
      <c r="I30">
        <v>0.93010599999999999</v>
      </c>
      <c r="J30">
        <v>0</v>
      </c>
      <c r="K30">
        <v>0</v>
      </c>
      <c r="L30">
        <v>2.9155351672738599</v>
      </c>
      <c r="M30">
        <v>8.2721252579181694E-3</v>
      </c>
      <c r="N30">
        <v>3.75007888915736</v>
      </c>
      <c r="O30">
        <v>8.6848546379276106E-3</v>
      </c>
      <c r="P30">
        <v>0.83454372188347303</v>
      </c>
      <c r="Q30" s="2">
        <v>8.3050757436043104E-4</v>
      </c>
      <c r="R30">
        <v>2.962202</v>
      </c>
      <c r="S30">
        <v>8.4685916162762307E-3</v>
      </c>
      <c r="T30">
        <v>3.7986089999999999</v>
      </c>
      <c r="U30">
        <v>8.8913093121915799E-3</v>
      </c>
      <c r="V30">
        <v>0.83640700000000001</v>
      </c>
      <c r="W30" s="2">
        <v>9.5281430182510502E-4</v>
      </c>
      <c r="X30">
        <v>0.93010599999999999</v>
      </c>
      <c r="Y30">
        <v>3.7539951971016601</v>
      </c>
      <c r="Z30">
        <v>4.7536962067499404</v>
      </c>
      <c r="AA30">
        <v>0.83668200000000004</v>
      </c>
      <c r="AB30">
        <v>2.8763800534277402</v>
      </c>
      <c r="AC30">
        <v>3.87606574692769</v>
      </c>
      <c r="AD30">
        <v>0.833372</v>
      </c>
      <c r="AE30">
        <v>2.7801381020040399</v>
      </c>
      <c r="AF30">
        <v>3.7755762550932501</v>
      </c>
      <c r="AH30" s="7">
        <f>SBC!D29</f>
        <v>0.7</v>
      </c>
      <c r="AI30" s="7">
        <f t="shared" si="6"/>
        <v>15.399999999999993</v>
      </c>
      <c r="AJ30" s="7">
        <f t="shared" si="1"/>
        <v>0.833372</v>
      </c>
      <c r="AK30" s="7">
        <f t="shared" si="7"/>
        <v>16.800987999999997</v>
      </c>
      <c r="AL30" s="7">
        <f t="shared" si="2"/>
        <v>1.4009880000000035</v>
      </c>
      <c r="AM30">
        <f>SBC!K29</f>
        <v>0.82</v>
      </c>
      <c r="AN30">
        <f t="shared" si="3"/>
        <v>1.3372000000000051E-2</v>
      </c>
      <c r="AO30">
        <f t="shared" si="4"/>
        <v>1.4700000000000013</v>
      </c>
      <c r="AP30">
        <f t="shared" si="5"/>
        <v>1.4009880000000006</v>
      </c>
      <c r="AQ30">
        <f>SBC!I29</f>
        <v>4.53</v>
      </c>
      <c r="AR30">
        <f t="shared" si="0"/>
        <v>3.75007888915736</v>
      </c>
    </row>
    <row r="31" spans="1:44" x14ac:dyDescent="0.3">
      <c r="A31">
        <v>29</v>
      </c>
      <c r="B31">
        <v>28</v>
      </c>
      <c r="C31">
        <v>29</v>
      </c>
      <c r="D31">
        <v>1</v>
      </c>
      <c r="E31">
        <v>2147483647</v>
      </c>
      <c r="F31">
        <v>0.93</v>
      </c>
      <c r="G31">
        <v>1</v>
      </c>
      <c r="H31">
        <v>0.92906500000000003</v>
      </c>
      <c r="I31">
        <v>0.92906500000000003</v>
      </c>
      <c r="J31">
        <v>0</v>
      </c>
      <c r="K31">
        <v>0</v>
      </c>
      <c r="L31">
        <v>3.0061305308852599</v>
      </c>
      <c r="M31">
        <v>8.4756024343864197E-3</v>
      </c>
      <c r="N31">
        <v>3.8441279587031998</v>
      </c>
      <c r="O31">
        <v>8.8816515952090409E-3</v>
      </c>
      <c r="P31">
        <v>0.83799742781793496</v>
      </c>
      <c r="Q31" s="2">
        <v>8.2305001620212501E-4</v>
      </c>
      <c r="R31">
        <v>3.049382</v>
      </c>
      <c r="S31">
        <v>8.6682245464701196E-3</v>
      </c>
      <c r="T31">
        <v>3.8888569999999998</v>
      </c>
      <c r="U31">
        <v>9.0844815282421498E-3</v>
      </c>
      <c r="V31">
        <v>0.83947499999999997</v>
      </c>
      <c r="W31" s="2">
        <v>9.4556698996974399E-4</v>
      </c>
      <c r="X31">
        <v>0.92906500000000003</v>
      </c>
      <c r="Y31">
        <v>3.8449611023213701</v>
      </c>
      <c r="Z31">
        <v>4.8444126852901102</v>
      </c>
      <c r="AA31">
        <v>0.84188499999999999</v>
      </c>
      <c r="AB31">
        <v>2.9659674248106098</v>
      </c>
      <c r="AC31">
        <v>3.9640255428312399</v>
      </c>
      <c r="AD31">
        <v>0.83881700000000003</v>
      </c>
      <c r="AE31">
        <v>2.87262843644378</v>
      </c>
      <c r="AF31">
        <v>3.8671714595679498</v>
      </c>
      <c r="AH31" s="7">
        <f>SBC!D30</f>
        <v>0.7</v>
      </c>
      <c r="AI31" s="7">
        <f t="shared" si="6"/>
        <v>16.099999999999994</v>
      </c>
      <c r="AJ31" s="7">
        <f t="shared" si="1"/>
        <v>0.83881700000000003</v>
      </c>
      <c r="AK31" s="7">
        <f t="shared" si="7"/>
        <v>17.639804999999996</v>
      </c>
      <c r="AL31" s="7">
        <f t="shared" si="2"/>
        <v>1.5398050000000012</v>
      </c>
      <c r="AM31">
        <f>SBC!K30</f>
        <v>0.82</v>
      </c>
      <c r="AN31">
        <f t="shared" si="3"/>
        <v>1.8817000000000084E-2</v>
      </c>
      <c r="AO31">
        <f t="shared" si="4"/>
        <v>1.5900000000000014</v>
      </c>
      <c r="AP31">
        <f t="shared" si="5"/>
        <v>1.5398050000000005</v>
      </c>
      <c r="AQ31">
        <f>SBC!I30</f>
        <v>4.6500000000000004</v>
      </c>
      <c r="AR31">
        <f t="shared" si="0"/>
        <v>3.8441279587031998</v>
      </c>
    </row>
    <row r="32" spans="1:44" x14ac:dyDescent="0.3">
      <c r="A32">
        <v>30</v>
      </c>
      <c r="B32">
        <v>29</v>
      </c>
      <c r="C32">
        <v>30</v>
      </c>
      <c r="D32">
        <v>1</v>
      </c>
      <c r="E32">
        <v>2147483647</v>
      </c>
      <c r="F32">
        <v>0.93</v>
      </c>
      <c r="G32">
        <v>1</v>
      </c>
      <c r="H32">
        <v>0.92853699999999995</v>
      </c>
      <c r="I32">
        <v>0.92853699999999995</v>
      </c>
      <c r="J32">
        <v>0</v>
      </c>
      <c r="K32">
        <v>0</v>
      </c>
      <c r="L32">
        <v>3.0906615643033302</v>
      </c>
      <c r="M32">
        <v>8.6719937620934797E-3</v>
      </c>
      <c r="N32">
        <v>3.9312798480735802</v>
      </c>
      <c r="O32">
        <v>9.0730006348146604E-3</v>
      </c>
      <c r="P32">
        <v>0.84061828377035896</v>
      </c>
      <c r="Q32" s="2">
        <v>8.1809115786425201E-4</v>
      </c>
      <c r="R32">
        <v>3.1317970000000002</v>
      </c>
      <c r="S32">
        <v>8.8548988975664308E-3</v>
      </c>
      <c r="T32">
        <v>3.9738220000000002</v>
      </c>
      <c r="U32">
        <v>9.2659038059671895E-3</v>
      </c>
      <c r="V32">
        <v>0.84202500000000002</v>
      </c>
      <c r="W32" s="2">
        <v>9.3945018140121305E-4</v>
      </c>
      <c r="X32">
        <v>0.92853699999999995</v>
      </c>
      <c r="Y32">
        <v>3.9253554887647502</v>
      </c>
      <c r="Z32">
        <v>4.9243129687949097</v>
      </c>
      <c r="AA32">
        <v>0.84612200000000004</v>
      </c>
      <c r="AB32">
        <v>3.06398841027046</v>
      </c>
      <c r="AC32">
        <v>4.0633117447667004</v>
      </c>
      <c r="AD32">
        <v>0.84357199999999999</v>
      </c>
      <c r="AE32">
        <v>2.96988233448092</v>
      </c>
      <c r="AF32">
        <v>3.96598983979854</v>
      </c>
      <c r="AH32" s="7">
        <f>SBC!D31</f>
        <v>0.7</v>
      </c>
      <c r="AI32" s="7">
        <f t="shared" si="6"/>
        <v>16.799999999999994</v>
      </c>
      <c r="AJ32" s="7">
        <f t="shared" si="1"/>
        <v>0.84357199999999999</v>
      </c>
      <c r="AK32" s="7">
        <f t="shared" si="7"/>
        <v>18.483376999999997</v>
      </c>
      <c r="AL32" s="7">
        <f t="shared" si="2"/>
        <v>1.6833770000000037</v>
      </c>
      <c r="AM32">
        <f>SBC!K31</f>
        <v>0.83</v>
      </c>
      <c r="AN32">
        <f t="shared" si="3"/>
        <v>1.3572000000000028E-2</v>
      </c>
      <c r="AO32">
        <f t="shared" si="4"/>
        <v>1.7200000000000013</v>
      </c>
      <c r="AP32">
        <f t="shared" si="5"/>
        <v>1.6833770000000003</v>
      </c>
      <c r="AQ32">
        <f>SBC!I31</f>
        <v>4.76</v>
      </c>
      <c r="AR32">
        <f t="shared" si="0"/>
        <v>3.9312798480735802</v>
      </c>
    </row>
    <row r="33" spans="1:44" x14ac:dyDescent="0.3">
      <c r="A33">
        <v>31</v>
      </c>
      <c r="B33">
        <v>30</v>
      </c>
      <c r="C33">
        <v>31</v>
      </c>
      <c r="D33">
        <v>1</v>
      </c>
      <c r="E33">
        <v>2147483647</v>
      </c>
      <c r="F33">
        <v>0.93</v>
      </c>
      <c r="G33">
        <v>1</v>
      </c>
      <c r="H33">
        <v>0.92921900000000002</v>
      </c>
      <c r="I33">
        <v>0.92921900000000002</v>
      </c>
      <c r="J33">
        <v>0</v>
      </c>
      <c r="K33">
        <v>0</v>
      </c>
      <c r="L33">
        <v>3.1727922099586601</v>
      </c>
      <c r="M33">
        <v>8.8640970659424508E-3</v>
      </c>
      <c r="N33">
        <v>4.0162623980273597</v>
      </c>
      <c r="O33">
        <v>9.2593442951779507E-3</v>
      </c>
      <c r="P33">
        <v>0.84347018806866403</v>
      </c>
      <c r="Q33" s="2">
        <v>8.1285016254765399E-4</v>
      </c>
      <c r="R33">
        <v>3.2148699999999999</v>
      </c>
      <c r="S33">
        <v>9.0485869388597408E-3</v>
      </c>
      <c r="T33">
        <v>4.059393</v>
      </c>
      <c r="U33">
        <v>9.4541453792628804E-3</v>
      </c>
      <c r="V33">
        <v>0.84452300000000002</v>
      </c>
      <c r="W33" s="2">
        <v>9.3337442444372805E-4</v>
      </c>
      <c r="X33">
        <v>0.92921900000000002</v>
      </c>
      <c r="Y33">
        <v>4.0244829216537301</v>
      </c>
      <c r="Z33">
        <v>5.0242114796216901</v>
      </c>
      <c r="AA33">
        <v>0.84614599999999995</v>
      </c>
      <c r="AB33">
        <v>3.1481915345899298</v>
      </c>
      <c r="AC33">
        <v>4.1495261936112904</v>
      </c>
      <c r="AD33">
        <v>0.84364799999999995</v>
      </c>
      <c r="AE33">
        <v>3.0591474099490101</v>
      </c>
      <c r="AF33">
        <v>4.0530901885983202</v>
      </c>
      <c r="AH33" s="7">
        <f>SBC!D32</f>
        <v>0.7</v>
      </c>
      <c r="AI33" s="7">
        <f t="shared" si="6"/>
        <v>17.499999999999993</v>
      </c>
      <c r="AJ33" s="7">
        <f t="shared" si="1"/>
        <v>0.84364799999999995</v>
      </c>
      <c r="AK33" s="7">
        <f t="shared" si="7"/>
        <v>19.327024999999999</v>
      </c>
      <c r="AL33" s="7">
        <f t="shared" si="2"/>
        <v>1.8270250000000061</v>
      </c>
      <c r="AM33">
        <f>SBC!K32</f>
        <v>0.83</v>
      </c>
      <c r="AN33">
        <f t="shared" si="3"/>
        <v>1.3647999999999993E-2</v>
      </c>
      <c r="AO33">
        <f t="shared" si="4"/>
        <v>1.8500000000000012</v>
      </c>
      <c r="AP33">
        <f t="shared" si="5"/>
        <v>1.8270250000000001</v>
      </c>
      <c r="AQ33">
        <f>SBC!I32</f>
        <v>4.8600000000000003</v>
      </c>
      <c r="AR33">
        <f t="shared" si="0"/>
        <v>4.0162623980273597</v>
      </c>
    </row>
    <row r="34" spans="1:44" x14ac:dyDescent="0.3">
      <c r="A34">
        <v>32</v>
      </c>
      <c r="B34">
        <v>31</v>
      </c>
      <c r="C34">
        <v>32</v>
      </c>
      <c r="D34">
        <v>1</v>
      </c>
      <c r="E34">
        <v>2147483647</v>
      </c>
      <c r="F34">
        <v>0.94</v>
      </c>
      <c r="G34">
        <v>1</v>
      </c>
      <c r="H34">
        <v>0.939446</v>
      </c>
      <c r="I34">
        <v>0.939446</v>
      </c>
      <c r="J34">
        <v>0</v>
      </c>
      <c r="K34">
        <v>0</v>
      </c>
      <c r="L34">
        <v>3.25999187019158</v>
      </c>
      <c r="M34">
        <v>9.0586437250134398E-3</v>
      </c>
      <c r="N34">
        <v>4.1066721079169897</v>
      </c>
      <c r="O34">
        <v>9.4473816649697593E-3</v>
      </c>
      <c r="P34">
        <v>0.84668023772532397</v>
      </c>
      <c r="Q34" s="2">
        <v>8.0557617126384101E-4</v>
      </c>
      <c r="R34">
        <v>3.3053870000000001</v>
      </c>
      <c r="S34">
        <v>9.2433661583889506E-3</v>
      </c>
      <c r="T34">
        <v>4.1537649999999999</v>
      </c>
      <c r="U34">
        <v>9.6407311545751995E-3</v>
      </c>
      <c r="V34">
        <v>0.84837799999999997</v>
      </c>
      <c r="W34" s="2">
        <v>9.2383176097582701E-4</v>
      </c>
      <c r="X34">
        <v>0.939446</v>
      </c>
      <c r="Y34">
        <v>4.1112919674164798</v>
      </c>
      <c r="Z34">
        <v>5.1117014434475898</v>
      </c>
      <c r="AA34">
        <v>0.84892900000000004</v>
      </c>
      <c r="AB34">
        <v>3.2288848565027601</v>
      </c>
      <c r="AC34">
        <v>4.2280794321306896</v>
      </c>
      <c r="AD34">
        <v>0.84507399999999999</v>
      </c>
      <c r="AE34">
        <v>3.1465430632237199</v>
      </c>
      <c r="AF34">
        <v>4.1428030414463297</v>
      </c>
      <c r="AH34" s="7">
        <f>SBC!D33</f>
        <v>1.2</v>
      </c>
      <c r="AI34" s="7">
        <f t="shared" si="6"/>
        <v>18.699999999999992</v>
      </c>
      <c r="AJ34" s="7">
        <f t="shared" si="1"/>
        <v>0.84507399999999999</v>
      </c>
      <c r="AK34" s="7">
        <f t="shared" si="7"/>
        <v>20.172098999999999</v>
      </c>
      <c r="AL34" s="7">
        <f t="shared" si="2"/>
        <v>1.4720990000000072</v>
      </c>
      <c r="AM34">
        <f>SBC!K33</f>
        <v>0.83</v>
      </c>
      <c r="AN34">
        <f t="shared" si="3"/>
        <v>1.5074000000000032E-2</v>
      </c>
      <c r="AO34">
        <f t="shared" si="4"/>
        <v>1.4800000000000011</v>
      </c>
      <c r="AP34">
        <f t="shared" si="5"/>
        <v>1.4720990000000003</v>
      </c>
      <c r="AQ34">
        <f>SBC!I33</f>
        <v>4.97</v>
      </c>
      <c r="AR34">
        <f t="shared" ref="AR34:AR65" si="8">N34</f>
        <v>4.1066721079169897</v>
      </c>
    </row>
    <row r="35" spans="1:44" x14ac:dyDescent="0.3">
      <c r="A35">
        <v>33</v>
      </c>
      <c r="B35">
        <v>32</v>
      </c>
      <c r="C35">
        <v>33</v>
      </c>
      <c r="D35">
        <v>1</v>
      </c>
      <c r="E35">
        <v>2147483647</v>
      </c>
      <c r="F35">
        <v>0.94</v>
      </c>
      <c r="G35">
        <v>1</v>
      </c>
      <c r="H35">
        <v>0.93936799999999998</v>
      </c>
      <c r="I35">
        <v>0.93936799999999998</v>
      </c>
      <c r="J35">
        <v>0</v>
      </c>
      <c r="K35">
        <v>0</v>
      </c>
      <c r="L35">
        <v>3.3493267026520801</v>
      </c>
      <c r="M35">
        <v>9.2507329664008094E-3</v>
      </c>
      <c r="N35">
        <v>4.1991271973331301</v>
      </c>
      <c r="O35">
        <v>9.6335204550785196E-3</v>
      </c>
      <c r="P35">
        <v>0.84980049468114405</v>
      </c>
      <c r="Q35" s="2">
        <v>7.9932554647086404E-4</v>
      </c>
      <c r="R35">
        <v>3.3919640000000002</v>
      </c>
      <c r="S35">
        <v>9.4336027626157996E-3</v>
      </c>
      <c r="T35">
        <v>4.2436350000000003</v>
      </c>
      <c r="U35">
        <v>9.8238188778473103E-3</v>
      </c>
      <c r="V35">
        <v>0.85167099999999996</v>
      </c>
      <c r="W35" s="2">
        <v>9.1551622150875796E-4</v>
      </c>
      <c r="X35">
        <v>0.93936799999999998</v>
      </c>
      <c r="Y35">
        <v>4.2005874437899999</v>
      </c>
      <c r="Z35">
        <v>5.2018312389672099</v>
      </c>
      <c r="AA35">
        <v>0.85279099999999997</v>
      </c>
      <c r="AB35">
        <v>3.3133216841523998</v>
      </c>
      <c r="AC35">
        <v>4.3129046811718803</v>
      </c>
      <c r="AD35">
        <v>0.84949799999999998</v>
      </c>
      <c r="AE35">
        <v>3.2309411111126898</v>
      </c>
      <c r="AF35">
        <v>4.2268029603264603</v>
      </c>
      <c r="AH35" s="7">
        <f>SBC!D34</f>
        <v>1.2</v>
      </c>
      <c r="AI35" s="7">
        <f t="shared" si="6"/>
        <v>19.899999999999991</v>
      </c>
      <c r="AJ35" s="7">
        <f t="shared" si="1"/>
        <v>0.84949799999999998</v>
      </c>
      <c r="AK35" s="7">
        <f t="shared" si="7"/>
        <v>21.021597</v>
      </c>
      <c r="AL35" s="7">
        <f t="shared" si="2"/>
        <v>1.1215970000000084</v>
      </c>
      <c r="AM35">
        <f>SBC!K34</f>
        <v>0.84</v>
      </c>
      <c r="AN35">
        <f t="shared" ref="AN35:AN66" si="9">ABS(AJ35-AM35)</f>
        <v>9.4980000000000064E-3</v>
      </c>
      <c r="AO35">
        <f t="shared" ref="AO35:AO66" si="10">AO34+AM35-AH35</f>
        <v>1.1200000000000012</v>
      </c>
      <c r="AP35">
        <f t="shared" ref="AP35:AP66" si="11">AP34+AJ35-AH35</f>
        <v>1.1215970000000002</v>
      </c>
      <c r="AQ35">
        <f>SBC!I34</f>
        <v>5.07</v>
      </c>
      <c r="AR35">
        <f t="shared" si="8"/>
        <v>4.1991271973331301</v>
      </c>
    </row>
    <row r="36" spans="1:44" x14ac:dyDescent="0.3">
      <c r="A36">
        <v>34</v>
      </c>
      <c r="B36">
        <v>33</v>
      </c>
      <c r="C36">
        <v>34</v>
      </c>
      <c r="D36">
        <v>1</v>
      </c>
      <c r="E36">
        <v>2147483647</v>
      </c>
      <c r="F36">
        <v>0.94</v>
      </c>
      <c r="G36">
        <v>1</v>
      </c>
      <c r="H36">
        <v>0.94061499999999998</v>
      </c>
      <c r="I36">
        <v>0.94061499999999998</v>
      </c>
      <c r="J36">
        <v>0</v>
      </c>
      <c r="K36">
        <v>0</v>
      </c>
      <c r="L36">
        <v>3.4354372781856299</v>
      </c>
      <c r="M36">
        <v>9.4414317411348203E-3</v>
      </c>
      <c r="N36">
        <v>4.2886196687497602</v>
      </c>
      <c r="O36">
        <v>9.8171025369466602E-3</v>
      </c>
      <c r="P36">
        <v>0.85318239056415601</v>
      </c>
      <c r="Q36" s="2">
        <v>7.9141464118851498E-4</v>
      </c>
      <c r="R36">
        <v>3.4782929999999999</v>
      </c>
      <c r="S36">
        <v>9.6168830439415705E-3</v>
      </c>
      <c r="T36">
        <v>4.3331150000000003</v>
      </c>
      <c r="U36">
        <v>1.0000435394551E-2</v>
      </c>
      <c r="V36">
        <v>0.85482199999999997</v>
      </c>
      <c r="W36" s="2">
        <v>9.0741369513798996E-4</v>
      </c>
      <c r="X36">
        <v>0.94061499999999998</v>
      </c>
      <c r="Y36">
        <v>4.2848312388607797</v>
      </c>
      <c r="Z36">
        <v>5.2840808499967</v>
      </c>
      <c r="AA36">
        <v>0.85428599999999999</v>
      </c>
      <c r="AB36">
        <v>3.3981197946810999</v>
      </c>
      <c r="AC36">
        <v>4.4001678101808501</v>
      </c>
      <c r="AD36">
        <v>0.85113499999999997</v>
      </c>
      <c r="AE36">
        <v>3.3131306985302298</v>
      </c>
      <c r="AF36">
        <v>4.3134500774160802</v>
      </c>
      <c r="AH36" s="7">
        <f>SBC!D35</f>
        <v>1.2</v>
      </c>
      <c r="AI36" s="7">
        <f t="shared" si="6"/>
        <v>21.099999999999991</v>
      </c>
      <c r="AJ36" s="7">
        <f t="shared" si="1"/>
        <v>0.85113499999999997</v>
      </c>
      <c r="AK36" s="7">
        <f t="shared" si="7"/>
        <v>21.872731999999999</v>
      </c>
      <c r="AL36" s="7">
        <f t="shared" si="2"/>
        <v>0.77273200000000841</v>
      </c>
      <c r="AM36">
        <f>SBC!K35</f>
        <v>0.84</v>
      </c>
      <c r="AN36">
        <f t="shared" si="9"/>
        <v>1.1135000000000006E-2</v>
      </c>
      <c r="AO36">
        <f t="shared" si="10"/>
        <v>0.76000000000000134</v>
      </c>
      <c r="AP36">
        <f t="shared" si="11"/>
        <v>0.7727320000000002</v>
      </c>
      <c r="AQ36">
        <f>SBC!I35</f>
        <v>5.17</v>
      </c>
      <c r="AR36">
        <f t="shared" si="8"/>
        <v>4.2886196687497602</v>
      </c>
    </row>
    <row r="37" spans="1:44" x14ac:dyDescent="0.3">
      <c r="A37">
        <v>35</v>
      </c>
      <c r="B37">
        <v>34</v>
      </c>
      <c r="C37">
        <v>35</v>
      </c>
      <c r="D37">
        <v>1</v>
      </c>
      <c r="E37">
        <v>2147483647</v>
      </c>
      <c r="F37">
        <v>0.89</v>
      </c>
      <c r="G37">
        <v>1</v>
      </c>
      <c r="H37">
        <v>0.88925399999999999</v>
      </c>
      <c r="I37">
        <v>0.88925399999999999</v>
      </c>
      <c r="J37">
        <v>0</v>
      </c>
      <c r="K37">
        <v>0</v>
      </c>
      <c r="L37">
        <v>3.49728368274054</v>
      </c>
      <c r="M37">
        <v>9.6052715795369604E-3</v>
      </c>
      <c r="N37">
        <v>4.3502268501255701</v>
      </c>
      <c r="O37">
        <v>9.9818864474713002E-3</v>
      </c>
      <c r="P37">
        <v>0.85294316738492104</v>
      </c>
      <c r="Q37" s="2">
        <v>7.9559505296830895E-4</v>
      </c>
      <c r="R37">
        <v>3.5169510000000002</v>
      </c>
      <c r="S37">
        <v>9.7580018346767397E-3</v>
      </c>
      <c r="T37">
        <v>4.3690030000000002</v>
      </c>
      <c r="U37">
        <v>1.01469013726303E-2</v>
      </c>
      <c r="V37">
        <v>0.85205200000000003</v>
      </c>
      <c r="W37" s="2">
        <v>9.1454415616023903E-4</v>
      </c>
      <c r="X37">
        <v>0.88925399999999999</v>
      </c>
      <c r="Y37">
        <v>4.3442329234863397</v>
      </c>
      <c r="Z37">
        <v>5.3452551822628704</v>
      </c>
      <c r="AA37">
        <v>0.85059600000000002</v>
      </c>
      <c r="AB37">
        <v>3.5244765893892702</v>
      </c>
      <c r="AC37">
        <v>4.5256248214317596</v>
      </c>
      <c r="AD37">
        <v>0.85336599999999996</v>
      </c>
      <c r="AE37">
        <v>3.41909865363482</v>
      </c>
      <c r="AF37">
        <v>4.41976482664119</v>
      </c>
      <c r="AH37" s="7">
        <f>SBC!D36</f>
        <v>1.2</v>
      </c>
      <c r="AI37" s="7">
        <f t="shared" si="6"/>
        <v>22.29999999999999</v>
      </c>
      <c r="AJ37" s="7">
        <f t="shared" si="1"/>
        <v>0.85336599999999996</v>
      </c>
      <c r="AK37" s="7">
        <f t="shared" si="7"/>
        <v>22.726098</v>
      </c>
      <c r="AL37" s="7">
        <f t="shared" si="2"/>
        <v>0.4260980000000103</v>
      </c>
      <c r="AM37">
        <f>SBC!K36</f>
        <v>0.84</v>
      </c>
      <c r="AN37">
        <f t="shared" si="9"/>
        <v>1.3365999999999989E-2</v>
      </c>
      <c r="AO37">
        <f t="shared" si="10"/>
        <v>0.40000000000000147</v>
      </c>
      <c r="AP37">
        <f t="shared" si="11"/>
        <v>0.42609800000000031</v>
      </c>
      <c r="AQ37">
        <f>SBC!I36</f>
        <v>5.22</v>
      </c>
      <c r="AR37">
        <f t="shared" si="8"/>
        <v>4.3502268501255701</v>
      </c>
    </row>
    <row r="38" spans="1:44" x14ac:dyDescent="0.3">
      <c r="A38">
        <v>36</v>
      </c>
      <c r="B38">
        <v>35</v>
      </c>
      <c r="C38">
        <v>36</v>
      </c>
      <c r="D38">
        <v>1</v>
      </c>
      <c r="E38">
        <v>2147483647</v>
      </c>
      <c r="F38">
        <v>0</v>
      </c>
      <c r="G38">
        <v>1</v>
      </c>
      <c r="H38">
        <v>0</v>
      </c>
      <c r="I38">
        <v>0</v>
      </c>
      <c r="J38">
        <v>0</v>
      </c>
      <c r="K38">
        <v>0</v>
      </c>
      <c r="L38">
        <v>3.17761145105298</v>
      </c>
      <c r="M38">
        <v>9.47113059268705E-3</v>
      </c>
      <c r="N38">
        <v>3.96497592829793</v>
      </c>
      <c r="O38">
        <v>9.9788088724828104E-3</v>
      </c>
      <c r="P38">
        <v>0.78736447724491898</v>
      </c>
      <c r="Q38" s="2">
        <v>9.8507162037193602E-4</v>
      </c>
      <c r="R38">
        <v>2.8566929999999999</v>
      </c>
      <c r="S38">
        <v>9.2388265046030298E-3</v>
      </c>
      <c r="T38">
        <v>3.5816759999999999</v>
      </c>
      <c r="U38">
        <v>9.8541396047590098E-3</v>
      </c>
      <c r="V38">
        <v>0.72498300000000004</v>
      </c>
      <c r="W38">
        <v>1.15016662482882E-3</v>
      </c>
      <c r="X38">
        <v>0</v>
      </c>
      <c r="Y38">
        <v>-1</v>
      </c>
      <c r="Z38">
        <v>-1</v>
      </c>
      <c r="AA38">
        <v>0.66025800000000001</v>
      </c>
      <c r="AB38">
        <v>4.6084272347135604</v>
      </c>
      <c r="AC38">
        <v>5.6092370781760899</v>
      </c>
      <c r="AD38">
        <v>0.787327</v>
      </c>
      <c r="AE38">
        <v>3.7881179307244599</v>
      </c>
      <c r="AF38">
        <v>4.8493351441800501</v>
      </c>
      <c r="AH38" s="7">
        <f>SBC!D37</f>
        <v>1.2</v>
      </c>
      <c r="AI38" s="7">
        <f t="shared" si="6"/>
        <v>23.499999999999989</v>
      </c>
      <c r="AJ38" s="7">
        <f t="shared" si="1"/>
        <v>0.787327</v>
      </c>
      <c r="AK38" s="7">
        <f t="shared" si="7"/>
        <v>23.513425000000002</v>
      </c>
      <c r="AL38" s="7">
        <f t="shared" si="2"/>
        <v>1.3425000000012233E-2</v>
      </c>
      <c r="AM38">
        <f>SBC!K37</f>
        <v>0.81</v>
      </c>
      <c r="AN38">
        <f t="shared" si="9"/>
        <v>2.2673000000000054E-2</v>
      </c>
      <c r="AO38">
        <f t="shared" si="10"/>
        <v>1.0000000000001563E-2</v>
      </c>
      <c r="AP38">
        <f t="shared" si="11"/>
        <v>1.3425000000000464E-2</v>
      </c>
      <c r="AQ38">
        <f>SBC!I37</f>
        <v>4.38</v>
      </c>
      <c r="AR38">
        <f t="shared" si="8"/>
        <v>3.96497592829793</v>
      </c>
    </row>
    <row r="39" spans="1:44" x14ac:dyDescent="0.3">
      <c r="A39">
        <v>37</v>
      </c>
      <c r="B39">
        <v>36</v>
      </c>
      <c r="C39">
        <v>37</v>
      </c>
      <c r="D39">
        <v>1</v>
      </c>
      <c r="E39">
        <v>2147483647</v>
      </c>
      <c r="F39">
        <v>0</v>
      </c>
      <c r="G39">
        <v>1</v>
      </c>
      <c r="H39">
        <v>0</v>
      </c>
      <c r="I39">
        <v>0</v>
      </c>
      <c r="J39">
        <v>0</v>
      </c>
      <c r="K39">
        <v>0</v>
      </c>
      <c r="L39">
        <v>2.5719650993716199</v>
      </c>
      <c r="M39">
        <v>8.8889709801040998E-3</v>
      </c>
      <c r="N39">
        <v>3.2392757959749998</v>
      </c>
      <c r="O39">
        <v>9.57398780332969E-3</v>
      </c>
      <c r="P39">
        <v>0.66731069660335995</v>
      </c>
      <c r="Q39" s="2">
        <v>1.1608744610252201E-3</v>
      </c>
      <c r="R39">
        <v>2.3040959999999999</v>
      </c>
      <c r="S39">
        <v>8.5969064648414601E-3</v>
      </c>
      <c r="T39">
        <v>2.9157649999999999</v>
      </c>
      <c r="U39">
        <v>9.3464410720666292E-3</v>
      </c>
      <c r="V39">
        <v>0.61166900000000002</v>
      </c>
      <c r="W39">
        <v>1.25538329530856E-3</v>
      </c>
      <c r="X39">
        <v>0</v>
      </c>
      <c r="Y39">
        <v>-1</v>
      </c>
      <c r="Z39">
        <v>-1</v>
      </c>
      <c r="AA39">
        <v>0.552597</v>
      </c>
      <c r="AB39">
        <v>5.4240655167707903</v>
      </c>
      <c r="AC39">
        <v>6.4269842672981596</v>
      </c>
      <c r="AD39">
        <v>0.66591100000000003</v>
      </c>
      <c r="AE39">
        <v>4.5111960766161499</v>
      </c>
      <c r="AF39">
        <v>5.6502203606904402</v>
      </c>
      <c r="AH39" s="7">
        <f>SBC!D38</f>
        <v>0.7</v>
      </c>
      <c r="AI39" s="7">
        <f t="shared" si="6"/>
        <v>24.199999999999989</v>
      </c>
      <c r="AJ39" s="7">
        <f t="shared" si="1"/>
        <v>0.66591100000000003</v>
      </c>
      <c r="AK39" s="7">
        <f t="shared" si="7"/>
        <v>24.179336000000003</v>
      </c>
      <c r="AL39" s="7">
        <f t="shared" si="2"/>
        <v>-2.0663999999985805E-2</v>
      </c>
      <c r="AM39">
        <f>SBC!K38</f>
        <v>0.78</v>
      </c>
      <c r="AN39">
        <f t="shared" si="9"/>
        <v>0.114089</v>
      </c>
      <c r="AO39">
        <f t="shared" si="10"/>
        <v>9.0000000000001634E-2</v>
      </c>
      <c r="AP39">
        <f t="shared" si="11"/>
        <v>-2.0663999999999461E-2</v>
      </c>
      <c r="AQ39">
        <f>SBC!I38</f>
        <v>3.57</v>
      </c>
      <c r="AR39">
        <f t="shared" si="8"/>
        <v>3.2392757959749998</v>
      </c>
    </row>
    <row r="40" spans="1:44" x14ac:dyDescent="0.3">
      <c r="A40">
        <v>38</v>
      </c>
      <c r="B40">
        <v>37</v>
      </c>
      <c r="C40">
        <v>38</v>
      </c>
      <c r="D40">
        <v>1</v>
      </c>
      <c r="E40">
        <v>2147483647</v>
      </c>
      <c r="F40">
        <v>0</v>
      </c>
      <c r="G40">
        <v>1</v>
      </c>
      <c r="H40">
        <v>0</v>
      </c>
      <c r="I40">
        <v>0</v>
      </c>
      <c r="J40">
        <v>0</v>
      </c>
      <c r="K40">
        <v>0</v>
      </c>
      <c r="L40">
        <v>2.0664235487882401</v>
      </c>
      <c r="M40">
        <v>8.2104557855643308E-3</v>
      </c>
      <c r="N40">
        <v>2.6269178949171699</v>
      </c>
      <c r="O40">
        <v>8.9966359830390592E-3</v>
      </c>
      <c r="P40">
        <v>0.56049434612889404</v>
      </c>
      <c r="Q40" s="2">
        <v>1.2343543746624699E-3</v>
      </c>
      <c r="R40">
        <v>1.843566</v>
      </c>
      <c r="S40">
        <v>7.8843195585179895E-3</v>
      </c>
      <c r="T40">
        <v>2.355</v>
      </c>
      <c r="U40">
        <v>8.7047402613602502E-3</v>
      </c>
      <c r="V40">
        <v>0.51143400000000006</v>
      </c>
      <c r="W40">
        <v>1.2875778532000499E-3</v>
      </c>
      <c r="X40">
        <v>0</v>
      </c>
      <c r="Y40">
        <v>-1</v>
      </c>
      <c r="Z40">
        <v>-1</v>
      </c>
      <c r="AA40">
        <v>0.46052999999999999</v>
      </c>
      <c r="AB40">
        <v>6.2675125967268404</v>
      </c>
      <c r="AC40">
        <v>7.2658248825720202</v>
      </c>
      <c r="AD40">
        <v>0.56076499999999996</v>
      </c>
      <c r="AE40">
        <v>5.3006882509701301</v>
      </c>
      <c r="AF40">
        <v>6.4798418172660197</v>
      </c>
      <c r="AH40" s="7">
        <f>SBC!D39</f>
        <v>0.7</v>
      </c>
      <c r="AI40" s="7">
        <f t="shared" si="6"/>
        <v>24.899999999999988</v>
      </c>
      <c r="AJ40" s="7">
        <f t="shared" si="1"/>
        <v>0.56076499999999996</v>
      </c>
      <c r="AK40" s="7">
        <f t="shared" si="7"/>
        <v>24.740101000000003</v>
      </c>
      <c r="AL40" s="7">
        <f t="shared" si="2"/>
        <v>-0.15989899999998514</v>
      </c>
      <c r="AM40">
        <f>SBC!K39</f>
        <v>0.74</v>
      </c>
      <c r="AN40">
        <f t="shared" si="9"/>
        <v>0.17923500000000003</v>
      </c>
      <c r="AO40">
        <f t="shared" si="10"/>
        <v>0.13000000000000167</v>
      </c>
      <c r="AP40">
        <f t="shared" si="11"/>
        <v>-0.15989899999999946</v>
      </c>
      <c r="AQ40">
        <f>SBC!I39</f>
        <v>2.79</v>
      </c>
      <c r="AR40">
        <f t="shared" si="8"/>
        <v>2.6269178949171699</v>
      </c>
    </row>
    <row r="41" spans="1:44" x14ac:dyDescent="0.3">
      <c r="A41">
        <v>39</v>
      </c>
      <c r="B41">
        <v>38</v>
      </c>
      <c r="C41">
        <v>39</v>
      </c>
      <c r="D41">
        <v>1</v>
      </c>
      <c r="E41">
        <v>2147483647</v>
      </c>
      <c r="F41">
        <v>0.83</v>
      </c>
      <c r="G41">
        <v>1</v>
      </c>
      <c r="H41">
        <v>0.83027200000000001</v>
      </c>
      <c r="I41">
        <v>0.83027200000000001</v>
      </c>
      <c r="J41">
        <v>0</v>
      </c>
      <c r="K41">
        <v>0</v>
      </c>
      <c r="L41">
        <v>1.87085752960701</v>
      </c>
      <c r="M41">
        <v>7.8344141929446495E-3</v>
      </c>
      <c r="N41">
        <v>2.4788396660237502</v>
      </c>
      <c r="O41">
        <v>8.4959791242334107E-3</v>
      </c>
      <c r="P41">
        <v>0.607982136416791</v>
      </c>
      <c r="Q41" s="2">
        <v>1.0970891289340801E-3</v>
      </c>
      <c r="R41">
        <v>1.9106270000000001</v>
      </c>
      <c r="S41">
        <v>7.9014014043773308E-3</v>
      </c>
      <c r="T41">
        <v>2.5775160000000001</v>
      </c>
      <c r="U41">
        <v>8.5059770166945308E-3</v>
      </c>
      <c r="V41">
        <v>0.66688899999999995</v>
      </c>
      <c r="W41">
        <v>1.2140549490683901E-3</v>
      </c>
      <c r="X41">
        <v>0.83027200000000001</v>
      </c>
      <c r="Y41">
        <v>2.46574173952088</v>
      </c>
      <c r="Z41">
        <v>3.46624754457289</v>
      </c>
      <c r="AA41">
        <v>0.76321099999999997</v>
      </c>
      <c r="AB41">
        <v>3.5507121232614498</v>
      </c>
      <c r="AC41">
        <v>4.5516673888751402</v>
      </c>
      <c r="AD41">
        <v>0.60775599999999996</v>
      </c>
      <c r="AE41">
        <v>4.6877519137514598</v>
      </c>
      <c r="AF41">
        <v>5.6783770561205698</v>
      </c>
      <c r="AH41" s="7">
        <f>SBC!D40</f>
        <v>0.7</v>
      </c>
      <c r="AI41" s="7">
        <f t="shared" si="6"/>
        <v>25.599999999999987</v>
      </c>
      <c r="AJ41" s="7">
        <f t="shared" si="1"/>
        <v>0.60775599999999996</v>
      </c>
      <c r="AK41" s="7">
        <f t="shared" si="7"/>
        <v>25.347857000000001</v>
      </c>
      <c r="AL41" s="7">
        <f t="shared" si="2"/>
        <v>-0.25214299999998602</v>
      </c>
      <c r="AM41">
        <f>SBC!K40</f>
        <v>0.74</v>
      </c>
      <c r="AN41">
        <f t="shared" si="9"/>
        <v>0.13224400000000003</v>
      </c>
      <c r="AO41">
        <f t="shared" si="10"/>
        <v>0.17000000000000171</v>
      </c>
      <c r="AP41">
        <f t="shared" si="11"/>
        <v>-0.25214299999999945</v>
      </c>
      <c r="AQ41">
        <f>SBC!I40</f>
        <v>2.88</v>
      </c>
      <c r="AR41">
        <f t="shared" si="8"/>
        <v>2.4788396660237502</v>
      </c>
    </row>
    <row r="42" spans="1:44" x14ac:dyDescent="0.3">
      <c r="A42">
        <v>40</v>
      </c>
      <c r="B42">
        <v>39</v>
      </c>
      <c r="C42">
        <v>40</v>
      </c>
      <c r="D42">
        <v>1</v>
      </c>
      <c r="E42">
        <v>2147483647</v>
      </c>
      <c r="F42">
        <v>0.9</v>
      </c>
      <c r="G42">
        <v>1</v>
      </c>
      <c r="H42">
        <v>0.90032400000000001</v>
      </c>
      <c r="I42">
        <v>0.90032400000000001</v>
      </c>
      <c r="J42">
        <v>0</v>
      </c>
      <c r="K42">
        <v>0</v>
      </c>
      <c r="L42">
        <v>1.9808544806891899</v>
      </c>
      <c r="M42">
        <v>7.8643250238322904E-3</v>
      </c>
      <c r="N42">
        <v>2.6823261397969498</v>
      </c>
      <c r="O42">
        <v>8.40242311023702E-3</v>
      </c>
      <c r="P42">
        <v>0.70147165910780795</v>
      </c>
      <c r="Q42" s="2">
        <v>1.01567834208406E-3</v>
      </c>
      <c r="R42">
        <v>2.0493389999999998</v>
      </c>
      <c r="S42">
        <v>7.9791095855633893E-3</v>
      </c>
      <c r="T42">
        <v>2.7761110000000002</v>
      </c>
      <c r="U42">
        <v>8.5096390217945395E-3</v>
      </c>
      <c r="V42">
        <v>0.72677199999999997</v>
      </c>
      <c r="W42">
        <v>1.1478331803053E-3</v>
      </c>
      <c r="X42">
        <v>0.90032400000000001</v>
      </c>
      <c r="Y42">
        <v>2.6845654518333402</v>
      </c>
      <c r="Z42">
        <v>3.6844764013320499</v>
      </c>
      <c r="AA42">
        <v>0.76161199999999996</v>
      </c>
      <c r="AB42">
        <v>3.3902624020496099</v>
      </c>
      <c r="AC42">
        <v>4.3884789075297297</v>
      </c>
      <c r="AD42">
        <v>0.70172900000000005</v>
      </c>
      <c r="AE42">
        <v>3.8656683919602899</v>
      </c>
      <c r="AF42">
        <v>4.7848485828350498</v>
      </c>
      <c r="AH42" s="7">
        <f>SBC!D41</f>
        <v>0.7</v>
      </c>
      <c r="AI42" s="7">
        <f t="shared" si="6"/>
        <v>26.299999999999986</v>
      </c>
      <c r="AJ42" s="7">
        <f t="shared" si="1"/>
        <v>0.70172900000000005</v>
      </c>
      <c r="AK42" s="7">
        <f t="shared" si="7"/>
        <v>26.049586000000001</v>
      </c>
      <c r="AL42" s="7">
        <f t="shared" si="2"/>
        <v>-0.25041399999998504</v>
      </c>
      <c r="AM42">
        <f>SBC!K41</f>
        <v>0.75</v>
      </c>
      <c r="AN42">
        <f t="shared" si="9"/>
        <v>4.8270999999999953E-2</v>
      </c>
      <c r="AO42">
        <f t="shared" si="10"/>
        <v>0.22000000000000175</v>
      </c>
      <c r="AP42">
        <f t="shared" si="11"/>
        <v>-0.25041399999999936</v>
      </c>
      <c r="AQ42">
        <f>SBC!I41</f>
        <v>3.04</v>
      </c>
      <c r="AR42">
        <f t="shared" si="8"/>
        <v>2.6823261397969498</v>
      </c>
    </row>
    <row r="43" spans="1:44" x14ac:dyDescent="0.3">
      <c r="A43">
        <v>41</v>
      </c>
      <c r="B43">
        <v>40</v>
      </c>
      <c r="C43">
        <v>41</v>
      </c>
      <c r="D43">
        <v>1</v>
      </c>
      <c r="E43">
        <v>2147483647</v>
      </c>
      <c r="F43">
        <v>0.9</v>
      </c>
      <c r="G43">
        <v>1</v>
      </c>
      <c r="H43">
        <v>0.89906699999999995</v>
      </c>
      <c r="I43">
        <v>0.89906699999999995</v>
      </c>
      <c r="J43">
        <v>0</v>
      </c>
      <c r="K43">
        <v>0</v>
      </c>
      <c r="L43">
        <v>2.1149766002016799</v>
      </c>
      <c r="M43">
        <v>7.9488016813259003E-3</v>
      </c>
      <c r="N43">
        <v>2.8576512151513902</v>
      </c>
      <c r="O43">
        <v>8.4398049373096799E-3</v>
      </c>
      <c r="P43">
        <v>0.74267461494968101</v>
      </c>
      <c r="Q43" s="2">
        <v>9.70812216900334E-4</v>
      </c>
      <c r="R43">
        <v>2.178166</v>
      </c>
      <c r="S43">
        <v>8.0775932455522999E-3</v>
      </c>
      <c r="T43">
        <v>2.9337569999999999</v>
      </c>
      <c r="U43">
        <v>8.57538059666468E-3</v>
      </c>
      <c r="V43">
        <v>0.75559100000000001</v>
      </c>
      <c r="W43">
        <v>1.1069272140236E-3</v>
      </c>
      <c r="X43">
        <v>0.89906699999999995</v>
      </c>
      <c r="Y43">
        <v>2.8546139065617502</v>
      </c>
      <c r="Z43">
        <v>3.8544078458990501</v>
      </c>
      <c r="AA43">
        <v>0.77024000000000004</v>
      </c>
      <c r="AB43">
        <v>3.2460490002089801</v>
      </c>
      <c r="AC43">
        <v>4.2488496470781101</v>
      </c>
      <c r="AD43">
        <v>0.741421</v>
      </c>
      <c r="AE43">
        <v>3.49959231379338</v>
      </c>
      <c r="AF43">
        <v>4.4401237856361897</v>
      </c>
      <c r="AH43" s="7">
        <f>SBC!D42</f>
        <v>0.7</v>
      </c>
      <c r="AI43" s="7">
        <f t="shared" si="6"/>
        <v>26.999999999999986</v>
      </c>
      <c r="AJ43" s="7">
        <f t="shared" si="1"/>
        <v>0.741421</v>
      </c>
      <c r="AK43" s="7">
        <f t="shared" si="7"/>
        <v>26.791007</v>
      </c>
      <c r="AL43" s="7">
        <f t="shared" si="2"/>
        <v>-0.20899299999998533</v>
      </c>
      <c r="AM43">
        <f>SBC!K42</f>
        <v>0.76</v>
      </c>
      <c r="AN43">
        <f t="shared" si="9"/>
        <v>1.8579000000000012E-2</v>
      </c>
      <c r="AO43">
        <f t="shared" si="10"/>
        <v>0.2800000000000018</v>
      </c>
      <c r="AP43">
        <f t="shared" si="11"/>
        <v>-0.20899299999999932</v>
      </c>
      <c r="AQ43">
        <f>SBC!I42</f>
        <v>3.19</v>
      </c>
      <c r="AR43">
        <f t="shared" si="8"/>
        <v>2.8576512151513902</v>
      </c>
    </row>
    <row r="44" spans="1:44" x14ac:dyDescent="0.3">
      <c r="A44">
        <v>42</v>
      </c>
      <c r="B44">
        <v>41</v>
      </c>
      <c r="C44">
        <v>42</v>
      </c>
      <c r="D44">
        <v>1</v>
      </c>
      <c r="E44">
        <v>2147483647</v>
      </c>
      <c r="F44">
        <v>0.91</v>
      </c>
      <c r="G44">
        <v>1</v>
      </c>
      <c r="H44">
        <v>0.909528</v>
      </c>
      <c r="I44">
        <v>0.909528</v>
      </c>
      <c r="J44">
        <v>0</v>
      </c>
      <c r="K44">
        <v>0</v>
      </c>
      <c r="L44">
        <v>2.2415061849118998</v>
      </c>
      <c r="M44">
        <v>8.0535865367018806E-3</v>
      </c>
      <c r="N44">
        <v>3.0074963729694701</v>
      </c>
      <c r="O44">
        <v>8.5200949766712705E-3</v>
      </c>
      <c r="P44">
        <v>0.765990188057598</v>
      </c>
      <c r="Q44" s="2">
        <v>9.4037977707731599E-4</v>
      </c>
      <c r="R44">
        <v>2.303229</v>
      </c>
      <c r="S44">
        <v>8.19992883255646E-3</v>
      </c>
      <c r="T44">
        <v>3.078328</v>
      </c>
      <c r="U44">
        <v>8.6757803489558305E-3</v>
      </c>
      <c r="V44">
        <v>0.77509899999999998</v>
      </c>
      <c r="W44">
        <v>1.07545281609865E-3</v>
      </c>
      <c r="X44">
        <v>0.909528</v>
      </c>
      <c r="Y44">
        <v>3.01258489505144</v>
      </c>
      <c r="Z44">
        <v>4.0141055953801299</v>
      </c>
      <c r="AA44">
        <v>0.78446499999999997</v>
      </c>
      <c r="AB44">
        <v>3.1415744083784198</v>
      </c>
      <c r="AC44">
        <v>4.1403556653418399</v>
      </c>
      <c r="AD44">
        <v>0.764957</v>
      </c>
      <c r="AE44">
        <v>3.3011021146085802</v>
      </c>
      <c r="AF44">
        <v>4.2614698867385599</v>
      </c>
      <c r="AH44" s="7">
        <f>SBC!D43</f>
        <v>0.7</v>
      </c>
      <c r="AI44" s="7">
        <f t="shared" si="6"/>
        <v>27.699999999999985</v>
      </c>
      <c r="AJ44" s="7">
        <f t="shared" si="1"/>
        <v>0.764957</v>
      </c>
      <c r="AK44" s="7">
        <f t="shared" si="7"/>
        <v>27.555963999999999</v>
      </c>
      <c r="AL44" s="7">
        <f t="shared" si="2"/>
        <v>-0.14403599999998562</v>
      </c>
      <c r="AM44">
        <f>SBC!K43</f>
        <v>0.77</v>
      </c>
      <c r="AN44">
        <f t="shared" si="9"/>
        <v>5.0430000000000197E-3</v>
      </c>
      <c r="AO44">
        <f t="shared" si="10"/>
        <v>0.35000000000000187</v>
      </c>
      <c r="AP44">
        <f t="shared" si="11"/>
        <v>-0.14403599999999928</v>
      </c>
      <c r="AQ44">
        <f>SBC!I43</f>
        <v>3.34</v>
      </c>
      <c r="AR44">
        <f t="shared" si="8"/>
        <v>3.0074963729694701</v>
      </c>
    </row>
    <row r="45" spans="1:44" x14ac:dyDescent="0.3">
      <c r="A45">
        <v>43</v>
      </c>
      <c r="B45">
        <v>42</v>
      </c>
      <c r="C45">
        <v>43</v>
      </c>
      <c r="D45">
        <v>1</v>
      </c>
      <c r="E45">
        <v>2147483647</v>
      </c>
      <c r="F45">
        <v>0.91</v>
      </c>
      <c r="G45">
        <v>1</v>
      </c>
      <c r="H45">
        <v>0.90973800000000005</v>
      </c>
      <c r="I45">
        <v>0.90973800000000005</v>
      </c>
      <c r="J45">
        <v>0</v>
      </c>
      <c r="K45">
        <v>0</v>
      </c>
      <c r="L45">
        <v>2.36164329381505</v>
      </c>
      <c r="M45">
        <v>8.1825021411156707E-3</v>
      </c>
      <c r="N45">
        <v>3.1434196250289399</v>
      </c>
      <c r="O45">
        <v>8.6328170958161095E-3</v>
      </c>
      <c r="P45">
        <v>0.78177633121385903</v>
      </c>
      <c r="Q45" s="2">
        <v>9.18195522437449E-4</v>
      </c>
      <c r="R45">
        <v>2.418336</v>
      </c>
      <c r="S45">
        <v>8.3335530387005693E-3</v>
      </c>
      <c r="T45">
        <v>3.2060209999999998</v>
      </c>
      <c r="U45">
        <v>8.7960827000738307E-3</v>
      </c>
      <c r="V45">
        <v>0.78768499999999997</v>
      </c>
      <c r="W45">
        <v>1.05337669609303E-3</v>
      </c>
      <c r="X45">
        <v>0.90973800000000005</v>
      </c>
      <c r="Y45">
        <v>3.1459938563745502</v>
      </c>
      <c r="Z45">
        <v>4.1481032786275298</v>
      </c>
      <c r="AA45">
        <v>0.79463099999999998</v>
      </c>
      <c r="AB45">
        <v>3.0748952409008101</v>
      </c>
      <c r="AC45">
        <v>4.0756319482703898</v>
      </c>
      <c r="AD45">
        <v>0.78204499999999999</v>
      </c>
      <c r="AE45">
        <v>3.1704501315327298</v>
      </c>
      <c r="AF45">
        <v>4.1437139294870899</v>
      </c>
      <c r="AH45" s="7">
        <f>SBC!D44</f>
        <v>0.7</v>
      </c>
      <c r="AI45" s="7">
        <f t="shared" si="6"/>
        <v>28.399999999999984</v>
      </c>
      <c r="AJ45" s="7">
        <f t="shared" si="1"/>
        <v>0.78204499999999999</v>
      </c>
      <c r="AK45" s="7">
        <f t="shared" si="7"/>
        <v>28.338009</v>
      </c>
      <c r="AL45" s="7">
        <f t="shared" si="2"/>
        <v>-6.1990999999984808E-2</v>
      </c>
      <c r="AM45">
        <f>SBC!K44</f>
        <v>0.78</v>
      </c>
      <c r="AN45">
        <f t="shared" si="9"/>
        <v>2.0449999999999635E-3</v>
      </c>
      <c r="AO45">
        <f t="shared" si="10"/>
        <v>0.43000000000000194</v>
      </c>
      <c r="AP45">
        <f t="shared" si="11"/>
        <v>-6.1990999999999241E-2</v>
      </c>
      <c r="AQ45">
        <f>SBC!I44</f>
        <v>3.48</v>
      </c>
      <c r="AR45">
        <f t="shared" si="8"/>
        <v>3.1434196250289399</v>
      </c>
    </row>
    <row r="46" spans="1:44" x14ac:dyDescent="0.3">
      <c r="A46">
        <v>44</v>
      </c>
      <c r="B46">
        <v>43</v>
      </c>
      <c r="C46">
        <v>44</v>
      </c>
      <c r="D46">
        <v>1</v>
      </c>
      <c r="E46">
        <v>2147483647</v>
      </c>
      <c r="F46">
        <v>0.91</v>
      </c>
      <c r="G46">
        <v>1</v>
      </c>
      <c r="H46">
        <v>0.90973999999999999</v>
      </c>
      <c r="I46">
        <v>0.90973999999999999</v>
      </c>
      <c r="J46">
        <v>0</v>
      </c>
      <c r="K46">
        <v>0</v>
      </c>
      <c r="L46">
        <v>2.4725163943587098</v>
      </c>
      <c r="M46">
        <v>8.3195721413827708E-3</v>
      </c>
      <c r="N46">
        <v>3.2651566100698699</v>
      </c>
      <c r="O46">
        <v>8.7593528897860398E-3</v>
      </c>
      <c r="P46">
        <v>0.79264021571110799</v>
      </c>
      <c r="Q46" s="2">
        <v>9.0245609566304199E-4</v>
      </c>
      <c r="R46">
        <v>2.5261439999999999</v>
      </c>
      <c r="S46">
        <v>8.4748904104905102E-3</v>
      </c>
      <c r="T46">
        <v>3.3231679999999999</v>
      </c>
      <c r="U46">
        <v>8.9275517832292997E-3</v>
      </c>
      <c r="V46">
        <v>0.79702399999999995</v>
      </c>
      <c r="W46">
        <v>1.0360366620289899E-3</v>
      </c>
      <c r="X46">
        <v>0.90973999999999999</v>
      </c>
      <c r="Y46">
        <v>3.26602950171976</v>
      </c>
      <c r="Z46">
        <v>4.2659342558532796</v>
      </c>
      <c r="AA46">
        <v>0.80193199999999998</v>
      </c>
      <c r="AB46">
        <v>3.03522939471334</v>
      </c>
      <c r="AC46">
        <v>4.0361385873148103</v>
      </c>
      <c r="AD46">
        <v>0.79259299999999999</v>
      </c>
      <c r="AE46">
        <v>3.08872354613864</v>
      </c>
      <c r="AF46">
        <v>4.0710532037596403</v>
      </c>
      <c r="AH46" s="7">
        <f>SBC!D45</f>
        <v>0.7</v>
      </c>
      <c r="AI46" s="7">
        <f t="shared" si="6"/>
        <v>29.099999999999984</v>
      </c>
      <c r="AJ46" s="7">
        <f t="shared" si="1"/>
        <v>0.79259299999999999</v>
      </c>
      <c r="AK46" s="7">
        <f t="shared" si="7"/>
        <v>29.130602</v>
      </c>
      <c r="AL46" s="7">
        <f t="shared" si="2"/>
        <v>3.0602000000016005E-2</v>
      </c>
      <c r="AM46">
        <f>SBC!K45</f>
        <v>0.78</v>
      </c>
      <c r="AN46">
        <f t="shared" si="9"/>
        <v>1.2592999999999965E-2</v>
      </c>
      <c r="AO46">
        <f t="shared" si="10"/>
        <v>0.51000000000000201</v>
      </c>
      <c r="AP46">
        <f t="shared" si="11"/>
        <v>3.0602000000000795E-2</v>
      </c>
      <c r="AQ46">
        <f>SBC!I45</f>
        <v>3.62</v>
      </c>
      <c r="AR46">
        <f t="shared" si="8"/>
        <v>3.2651566100698699</v>
      </c>
    </row>
    <row r="47" spans="1:44" x14ac:dyDescent="0.3">
      <c r="A47">
        <v>45</v>
      </c>
      <c r="B47">
        <v>44</v>
      </c>
      <c r="C47">
        <v>45</v>
      </c>
      <c r="D47">
        <v>1</v>
      </c>
      <c r="E47">
        <v>2147483647</v>
      </c>
      <c r="F47">
        <v>0.92</v>
      </c>
      <c r="G47">
        <v>1</v>
      </c>
      <c r="H47">
        <v>0.91947000000000001</v>
      </c>
      <c r="I47">
        <v>0.91947000000000001</v>
      </c>
      <c r="J47">
        <v>0</v>
      </c>
      <c r="K47">
        <v>0</v>
      </c>
      <c r="L47">
        <v>2.5815734612824799</v>
      </c>
      <c r="M47">
        <v>8.4669546301742692E-3</v>
      </c>
      <c r="N47">
        <v>3.3835810404722801</v>
      </c>
      <c r="O47">
        <v>8.8969473547933706E-3</v>
      </c>
      <c r="P47">
        <v>0.80200757918984</v>
      </c>
      <c r="Q47" s="2">
        <v>8.8799865345814901E-4</v>
      </c>
      <c r="R47">
        <v>2.6344020000000001</v>
      </c>
      <c r="S47">
        <v>8.6237349836095507E-3</v>
      </c>
      <c r="T47">
        <v>3.4407580000000002</v>
      </c>
      <c r="U47">
        <v>9.0649996544430404E-3</v>
      </c>
      <c r="V47">
        <v>0.80635599999999996</v>
      </c>
      <c r="W47" s="2">
        <v>1.0178470283149399E-3</v>
      </c>
      <c r="X47">
        <v>0.91947000000000001</v>
      </c>
      <c r="Y47">
        <v>3.3822596395000701</v>
      </c>
      <c r="Z47">
        <v>4.3843283931257897</v>
      </c>
      <c r="AA47">
        <v>0.81121200000000004</v>
      </c>
      <c r="AB47">
        <v>3.0229388713524701</v>
      </c>
      <c r="AC47">
        <v>4.0219433861354403</v>
      </c>
      <c r="AD47">
        <v>0.80188000000000004</v>
      </c>
      <c r="AE47">
        <v>3.0521011311867001</v>
      </c>
      <c r="AF47">
        <v>4.0385313110301304</v>
      </c>
      <c r="AH47" s="7">
        <f>SBC!D46</f>
        <v>0.7</v>
      </c>
      <c r="AI47" s="7">
        <f t="shared" si="6"/>
        <v>29.799999999999983</v>
      </c>
      <c r="AJ47" s="7">
        <f t="shared" si="1"/>
        <v>0.80188000000000004</v>
      </c>
      <c r="AK47" s="7">
        <f t="shared" si="7"/>
        <v>29.932482</v>
      </c>
      <c r="AL47" s="7">
        <f t="shared" si="2"/>
        <v>0.13248200000001731</v>
      </c>
      <c r="AM47">
        <f>SBC!K46</f>
        <v>0.79</v>
      </c>
      <c r="AN47">
        <f t="shared" si="9"/>
        <v>1.1880000000000002E-2</v>
      </c>
      <c r="AO47">
        <f t="shared" si="10"/>
        <v>0.60000000000000209</v>
      </c>
      <c r="AP47">
        <f t="shared" si="11"/>
        <v>0.13248200000000088</v>
      </c>
      <c r="AQ47">
        <f>SBC!I46</f>
        <v>3.75</v>
      </c>
      <c r="AR47">
        <f t="shared" si="8"/>
        <v>3.3835810404722801</v>
      </c>
    </row>
    <row r="48" spans="1:44" x14ac:dyDescent="0.3">
      <c r="A48">
        <v>46</v>
      </c>
      <c r="B48">
        <v>45</v>
      </c>
      <c r="C48">
        <v>46</v>
      </c>
      <c r="D48">
        <v>1</v>
      </c>
      <c r="E48">
        <v>2147483647</v>
      </c>
      <c r="F48">
        <v>0.78</v>
      </c>
      <c r="G48">
        <v>1</v>
      </c>
      <c r="H48">
        <v>0.78041400000000005</v>
      </c>
      <c r="I48">
        <v>0.78041400000000005</v>
      </c>
      <c r="J48">
        <v>0</v>
      </c>
      <c r="K48">
        <v>0</v>
      </c>
      <c r="L48">
        <v>2.6306835954358401</v>
      </c>
      <c r="M48">
        <v>8.5733103539436892E-3</v>
      </c>
      <c r="N48">
        <v>3.4301346959962702</v>
      </c>
      <c r="O48">
        <v>9.0125271408783396E-3</v>
      </c>
      <c r="P48">
        <v>0.79945110056047497</v>
      </c>
      <c r="Q48" s="2">
        <v>9.0236284978814803E-4</v>
      </c>
      <c r="R48">
        <v>2.6278579999999998</v>
      </c>
      <c r="S48">
        <v>8.6773409352477199E-3</v>
      </c>
      <c r="T48">
        <v>3.422326</v>
      </c>
      <c r="U48">
        <v>9.1403928915511599E-3</v>
      </c>
      <c r="V48">
        <v>0.79446799999999995</v>
      </c>
      <c r="W48">
        <v>1.0408664453529001E-3</v>
      </c>
      <c r="X48">
        <v>0.78041400000000005</v>
      </c>
      <c r="Y48">
        <v>3.43913413294363</v>
      </c>
      <c r="Z48">
        <v>4.4391526803378003</v>
      </c>
      <c r="AA48">
        <v>0.78695800000000005</v>
      </c>
      <c r="AB48">
        <v>3.13800483356514</v>
      </c>
      <c r="AC48">
        <v>4.1384048896855097</v>
      </c>
      <c r="AD48">
        <v>0.79884599999999995</v>
      </c>
      <c r="AE48">
        <v>3.0701525414370501</v>
      </c>
      <c r="AF48">
        <v>4.06764201134314</v>
      </c>
      <c r="AH48" s="7">
        <f>SBC!D47</f>
        <v>0.7</v>
      </c>
      <c r="AI48" s="7">
        <f t="shared" si="6"/>
        <v>30.499999999999982</v>
      </c>
      <c r="AJ48" s="7">
        <f t="shared" si="1"/>
        <v>0.79884599999999995</v>
      </c>
      <c r="AK48" s="7">
        <f t="shared" si="7"/>
        <v>30.731328000000001</v>
      </c>
      <c r="AL48" s="7">
        <f t="shared" si="2"/>
        <v>0.23132800000001907</v>
      </c>
      <c r="AM48">
        <f>SBC!K47</f>
        <v>0.79</v>
      </c>
      <c r="AN48">
        <f t="shared" si="9"/>
        <v>8.8459999999999095E-3</v>
      </c>
      <c r="AO48">
        <f t="shared" si="10"/>
        <v>0.69000000000000217</v>
      </c>
      <c r="AP48">
        <f t="shared" si="11"/>
        <v>0.23132800000000087</v>
      </c>
      <c r="AQ48">
        <f>SBC!I47</f>
        <v>3.74</v>
      </c>
      <c r="AR48">
        <f t="shared" si="8"/>
        <v>3.4301346959962702</v>
      </c>
    </row>
    <row r="49" spans="1:44" x14ac:dyDescent="0.3">
      <c r="A49">
        <v>47</v>
      </c>
      <c r="B49">
        <v>46</v>
      </c>
      <c r="C49">
        <v>47</v>
      </c>
      <c r="D49">
        <v>1</v>
      </c>
      <c r="E49">
        <v>2147483647</v>
      </c>
      <c r="F49">
        <v>0</v>
      </c>
      <c r="G49">
        <v>1</v>
      </c>
      <c r="H49">
        <v>0</v>
      </c>
      <c r="I49">
        <v>0</v>
      </c>
      <c r="J49">
        <v>0</v>
      </c>
      <c r="K49">
        <v>0</v>
      </c>
      <c r="L49">
        <v>2.3365328388720799</v>
      </c>
      <c r="M49">
        <v>8.35824262255923E-3</v>
      </c>
      <c r="N49">
        <v>3.0521695565849001</v>
      </c>
      <c r="O49">
        <v>8.9325106464397796E-3</v>
      </c>
      <c r="P49">
        <v>0.71563671771299198</v>
      </c>
      <c r="Q49">
        <v>1.0867797241023501E-3</v>
      </c>
      <c r="R49">
        <v>2.0661700000000001</v>
      </c>
      <c r="S49">
        <v>8.0946047671786696E-3</v>
      </c>
      <c r="T49">
        <v>2.707881</v>
      </c>
      <c r="U49">
        <v>8.7676422343837702E-3</v>
      </c>
      <c r="V49">
        <v>0.64171100000000003</v>
      </c>
      <c r="W49">
        <v>1.23510408744062E-3</v>
      </c>
      <c r="X49">
        <v>0</v>
      </c>
      <c r="Y49">
        <v>-1</v>
      </c>
      <c r="Z49">
        <v>-1</v>
      </c>
      <c r="AA49">
        <v>0.56168799999999997</v>
      </c>
      <c r="AB49">
        <v>4.4050321602170204</v>
      </c>
      <c r="AC49">
        <v>5.4060311027007799</v>
      </c>
      <c r="AD49">
        <v>0.714445</v>
      </c>
      <c r="AE49">
        <v>3.45583619452468</v>
      </c>
      <c r="AF49">
        <v>4.54254165574224</v>
      </c>
      <c r="AH49" s="7">
        <f>SBC!D48</f>
        <v>0.7</v>
      </c>
      <c r="AI49" s="7">
        <f t="shared" si="6"/>
        <v>31.199999999999982</v>
      </c>
      <c r="AJ49" s="7">
        <f t="shared" si="1"/>
        <v>0.714445</v>
      </c>
      <c r="AK49" s="7">
        <f t="shared" si="7"/>
        <v>31.445773000000003</v>
      </c>
      <c r="AL49" s="7">
        <f t="shared" si="2"/>
        <v>0.24577300000002111</v>
      </c>
      <c r="AM49">
        <f>SBC!K48</f>
        <v>0.75</v>
      </c>
      <c r="AN49">
        <f t="shared" si="9"/>
        <v>3.5555000000000003E-2</v>
      </c>
      <c r="AO49">
        <f t="shared" si="10"/>
        <v>0.74000000000000221</v>
      </c>
      <c r="AP49">
        <f t="shared" si="11"/>
        <v>0.24577300000000091</v>
      </c>
      <c r="AQ49">
        <f>SBC!I48</f>
        <v>2.95</v>
      </c>
      <c r="AR49">
        <f t="shared" si="8"/>
        <v>3.0521695565849001</v>
      </c>
    </row>
    <row r="50" spans="1:44" x14ac:dyDescent="0.3">
      <c r="A50">
        <v>48</v>
      </c>
      <c r="B50">
        <v>47</v>
      </c>
      <c r="C50">
        <v>48</v>
      </c>
      <c r="D50">
        <v>1</v>
      </c>
      <c r="E50">
        <v>2147483647</v>
      </c>
      <c r="F50">
        <v>0</v>
      </c>
      <c r="G50">
        <v>1</v>
      </c>
      <c r="H50">
        <v>0</v>
      </c>
      <c r="I50">
        <v>0</v>
      </c>
      <c r="J50">
        <v>0</v>
      </c>
      <c r="K50">
        <v>0</v>
      </c>
      <c r="L50">
        <v>1.8329738889654199</v>
      </c>
      <c r="M50">
        <v>7.7303074361993697E-3</v>
      </c>
      <c r="N50">
        <v>2.40877226343992</v>
      </c>
      <c r="O50">
        <v>8.4557507638109899E-3</v>
      </c>
      <c r="P50">
        <v>0.57579837447454496</v>
      </c>
      <c r="Q50" s="2">
        <v>1.21647717505058E-3</v>
      </c>
      <c r="R50">
        <v>1.617389</v>
      </c>
      <c r="S50">
        <v>7.4252843969618097E-3</v>
      </c>
      <c r="T50">
        <v>2.1314389999999999</v>
      </c>
      <c r="U50">
        <v>8.1988977669436303E-3</v>
      </c>
      <c r="V50">
        <v>0.51405000000000001</v>
      </c>
      <c r="W50">
        <v>1.2874060762164399E-3</v>
      </c>
      <c r="X50">
        <v>0</v>
      </c>
      <c r="Y50">
        <v>-1</v>
      </c>
      <c r="Z50">
        <v>-1</v>
      </c>
      <c r="AA50">
        <v>0.44878099999999999</v>
      </c>
      <c r="AB50">
        <v>5.3150483133944899</v>
      </c>
      <c r="AC50">
        <v>6.3171889833797898</v>
      </c>
      <c r="AD50">
        <v>0.57644200000000001</v>
      </c>
      <c r="AE50">
        <v>4.2455014838858096</v>
      </c>
      <c r="AF50">
        <v>5.4342921839778597</v>
      </c>
      <c r="AH50" s="7">
        <f>SBC!D49</f>
        <v>0.7</v>
      </c>
      <c r="AI50" s="7">
        <f t="shared" si="6"/>
        <v>31.899999999999981</v>
      </c>
      <c r="AJ50" s="7">
        <f t="shared" si="1"/>
        <v>0.57644200000000001</v>
      </c>
      <c r="AK50" s="7">
        <f t="shared" si="7"/>
        <v>32.022215000000003</v>
      </c>
      <c r="AL50" s="7">
        <f t="shared" si="2"/>
        <v>0.12221500000002194</v>
      </c>
      <c r="AM50">
        <f>SBC!K49</f>
        <v>0.69</v>
      </c>
      <c r="AN50">
        <f t="shared" si="9"/>
        <v>0.11355799999999994</v>
      </c>
      <c r="AO50">
        <f t="shared" si="10"/>
        <v>0.7300000000000022</v>
      </c>
      <c r="AP50">
        <f t="shared" si="11"/>
        <v>0.12221500000000096</v>
      </c>
      <c r="AQ50">
        <f>SBC!I49</f>
        <v>2.2000000000000002</v>
      </c>
      <c r="AR50">
        <f t="shared" si="8"/>
        <v>2.40877226343992</v>
      </c>
    </row>
    <row r="51" spans="1:44" x14ac:dyDescent="0.3">
      <c r="A51">
        <v>49</v>
      </c>
      <c r="B51">
        <v>48</v>
      </c>
      <c r="C51">
        <v>49</v>
      </c>
      <c r="D51">
        <v>1</v>
      </c>
      <c r="E51">
        <v>2147483647</v>
      </c>
      <c r="F51">
        <v>0</v>
      </c>
      <c r="G51">
        <v>1</v>
      </c>
      <c r="H51">
        <v>0</v>
      </c>
      <c r="I51">
        <v>0</v>
      </c>
      <c r="J51">
        <v>0</v>
      </c>
      <c r="K51">
        <v>0</v>
      </c>
      <c r="L51">
        <v>1.4336025424427701</v>
      </c>
      <c r="M51">
        <v>7.0465562184220398E-3</v>
      </c>
      <c r="N51">
        <v>1.8933246173859499</v>
      </c>
      <c r="O51">
        <v>7.8370579365055308E-3</v>
      </c>
      <c r="P51">
        <v>0.45972207494316902</v>
      </c>
      <c r="Q51" s="2">
        <v>1.2377080417142899E-3</v>
      </c>
      <c r="R51">
        <v>1.2635810000000001</v>
      </c>
      <c r="S51">
        <v>6.7271667378610801E-3</v>
      </c>
      <c r="T51">
        <v>1.6725540000000001</v>
      </c>
      <c r="U51">
        <v>7.5344900965155504E-3</v>
      </c>
      <c r="V51">
        <v>0.40897299999999998</v>
      </c>
      <c r="W51">
        <v>1.26639170985264E-3</v>
      </c>
      <c r="X51">
        <v>0</v>
      </c>
      <c r="Y51">
        <v>-1</v>
      </c>
      <c r="Z51">
        <v>-1</v>
      </c>
      <c r="AA51">
        <v>0.35380800000000001</v>
      </c>
      <c r="AB51">
        <v>6.2473412995936997</v>
      </c>
      <c r="AC51">
        <v>7.2490664508336504</v>
      </c>
      <c r="AD51">
        <v>0.45888499999999999</v>
      </c>
      <c r="AE51">
        <v>5.1027611951586804</v>
      </c>
      <c r="AF51">
        <v>6.3500561395095101</v>
      </c>
      <c r="AH51" s="7">
        <f>SBC!D50</f>
        <v>0.7</v>
      </c>
      <c r="AI51" s="7">
        <f t="shared" si="6"/>
        <v>32.59999999999998</v>
      </c>
      <c r="AJ51" s="7">
        <f t="shared" si="1"/>
        <v>0.45888499999999999</v>
      </c>
      <c r="AK51" s="7">
        <f t="shared" si="7"/>
        <v>32.481100000000005</v>
      </c>
      <c r="AL51" s="7">
        <f t="shared" si="2"/>
        <v>-0.11889999999997514</v>
      </c>
      <c r="AM51">
        <f>SBC!K50</f>
        <v>0.6</v>
      </c>
      <c r="AN51">
        <f t="shared" si="9"/>
        <v>0.14111499999999999</v>
      </c>
      <c r="AO51">
        <f t="shared" si="10"/>
        <v>0.63000000000000234</v>
      </c>
      <c r="AP51">
        <f t="shared" si="11"/>
        <v>-0.11889999999999901</v>
      </c>
      <c r="AQ51">
        <f>SBC!I50</f>
        <v>1.52</v>
      </c>
      <c r="AR51">
        <f t="shared" si="8"/>
        <v>1.8933246173859499</v>
      </c>
    </row>
    <row r="52" spans="1:44" x14ac:dyDescent="0.3">
      <c r="A52">
        <v>50</v>
      </c>
      <c r="B52">
        <v>49</v>
      </c>
      <c r="C52">
        <v>50</v>
      </c>
      <c r="D52">
        <v>1</v>
      </c>
      <c r="E52">
        <v>2147483647</v>
      </c>
      <c r="F52">
        <v>0</v>
      </c>
      <c r="G52">
        <v>1</v>
      </c>
      <c r="H52">
        <v>0</v>
      </c>
      <c r="I52">
        <v>0</v>
      </c>
      <c r="J52">
        <v>0</v>
      </c>
      <c r="K52">
        <v>0</v>
      </c>
      <c r="L52">
        <v>1.1181725844119399</v>
      </c>
      <c r="M52">
        <v>6.3521911968267399E-3</v>
      </c>
      <c r="N52">
        <v>1.48306385548109</v>
      </c>
      <c r="O52">
        <v>7.1541518106935801E-3</v>
      </c>
      <c r="P52">
        <v>0.36489127106911501</v>
      </c>
      <c r="Q52">
        <v>1.2016295011527899E-3</v>
      </c>
      <c r="R52">
        <v>0.98362099999999997</v>
      </c>
      <c r="S52">
        <v>6.0348457842086898E-3</v>
      </c>
      <c r="T52">
        <v>1.3075840000000001</v>
      </c>
      <c r="U52">
        <v>6.8334775991515098E-3</v>
      </c>
      <c r="V52">
        <v>0.323963</v>
      </c>
      <c r="W52">
        <v>1.2054522683066101E-3</v>
      </c>
      <c r="X52">
        <v>0</v>
      </c>
      <c r="Y52">
        <v>-1</v>
      </c>
      <c r="Z52">
        <v>-1</v>
      </c>
      <c r="AA52">
        <v>0.27995999999999999</v>
      </c>
      <c r="AB52">
        <v>7.18894170617732</v>
      </c>
      <c r="AC52">
        <v>8.1900806358342901</v>
      </c>
      <c r="AD52">
        <v>0.36497000000000002</v>
      </c>
      <c r="AE52">
        <v>6.0035280705005496</v>
      </c>
      <c r="AF52">
        <v>7.2777300782323397</v>
      </c>
      <c r="AH52" s="7">
        <f>SBC!D51</f>
        <v>0.7</v>
      </c>
      <c r="AI52" s="7">
        <f t="shared" si="6"/>
        <v>33.299999999999983</v>
      </c>
      <c r="AJ52" s="7">
        <f t="shared" si="1"/>
        <v>0.36497000000000002</v>
      </c>
      <c r="AK52" s="7">
        <f t="shared" si="7"/>
        <v>32.846070000000005</v>
      </c>
      <c r="AL52" s="7">
        <f t="shared" si="2"/>
        <v>-0.45392999999997841</v>
      </c>
      <c r="AM52">
        <f>SBC!K51</f>
        <v>0.48</v>
      </c>
      <c r="AN52">
        <f t="shared" si="9"/>
        <v>0.11502999999999997</v>
      </c>
      <c r="AO52">
        <f t="shared" si="10"/>
        <v>0.41000000000000236</v>
      </c>
      <c r="AP52">
        <f t="shared" si="11"/>
        <v>-0.45392999999999895</v>
      </c>
      <c r="AQ52">
        <f>SBC!I51</f>
        <v>0.91</v>
      </c>
      <c r="AR52">
        <f t="shared" si="8"/>
        <v>1.48306385548109</v>
      </c>
    </row>
    <row r="53" spans="1:44" x14ac:dyDescent="0.3">
      <c r="A53">
        <v>51</v>
      </c>
      <c r="B53">
        <v>50</v>
      </c>
      <c r="C53">
        <v>51</v>
      </c>
      <c r="D53">
        <v>1</v>
      </c>
      <c r="E53">
        <v>2147483647</v>
      </c>
      <c r="F53">
        <v>0</v>
      </c>
      <c r="G53">
        <v>1</v>
      </c>
      <c r="H53">
        <v>0</v>
      </c>
      <c r="I53">
        <v>0</v>
      </c>
      <c r="J53">
        <v>0</v>
      </c>
      <c r="K53">
        <v>0</v>
      </c>
      <c r="L53">
        <v>0.86888071967373603</v>
      </c>
      <c r="M53">
        <v>5.6786347318697099E-3</v>
      </c>
      <c r="N53">
        <v>1.15747762755704</v>
      </c>
      <c r="O53">
        <v>6.4581135138233802E-3</v>
      </c>
      <c r="P53">
        <v>0.288596907883308</v>
      </c>
      <c r="Q53">
        <v>1.13431043993483E-3</v>
      </c>
      <c r="R53">
        <v>0.76292599999999999</v>
      </c>
      <c r="S53">
        <v>5.3744034417389803E-3</v>
      </c>
      <c r="T53">
        <v>1.0186470000000001</v>
      </c>
      <c r="U53">
        <v>6.13856672640595E-3</v>
      </c>
      <c r="V53">
        <v>0.25572099999999998</v>
      </c>
      <c r="W53">
        <v>1.12374600124222E-3</v>
      </c>
      <c r="X53">
        <v>0</v>
      </c>
      <c r="Y53">
        <v>-1</v>
      </c>
      <c r="Z53">
        <v>-1</v>
      </c>
      <c r="AA53">
        <v>0.220695</v>
      </c>
      <c r="AB53">
        <v>8.1166328081231498</v>
      </c>
      <c r="AC53">
        <v>9.1133461498164099</v>
      </c>
      <c r="AD53">
        <v>0.288937</v>
      </c>
      <c r="AE53">
        <v>6.92242469146451</v>
      </c>
      <c r="AF53">
        <v>8.2107070714233892</v>
      </c>
      <c r="AH53" s="7">
        <f>SBC!D52</f>
        <v>0.7</v>
      </c>
      <c r="AI53" s="7">
        <f t="shared" si="6"/>
        <v>33.999999999999986</v>
      </c>
      <c r="AJ53" s="7">
        <f t="shared" si="1"/>
        <v>0.288937</v>
      </c>
      <c r="AK53" s="7">
        <f t="shared" si="7"/>
        <v>33.135007000000002</v>
      </c>
      <c r="AL53" s="7">
        <f t="shared" si="2"/>
        <v>-0.86499299999998414</v>
      </c>
      <c r="AM53">
        <f>SBC!K52</f>
        <v>0.3</v>
      </c>
      <c r="AN53">
        <f t="shared" si="9"/>
        <v>1.106299999999999E-2</v>
      </c>
      <c r="AO53">
        <f t="shared" si="10"/>
        <v>1.0000000000002451E-2</v>
      </c>
      <c r="AP53">
        <f t="shared" si="11"/>
        <v>-0.8649929999999989</v>
      </c>
      <c r="AQ53">
        <f>SBC!I52</f>
        <v>0.44</v>
      </c>
      <c r="AR53">
        <f t="shared" si="8"/>
        <v>1.15747762755704</v>
      </c>
    </row>
    <row r="54" spans="1:44" x14ac:dyDescent="0.3">
      <c r="A54">
        <v>52</v>
      </c>
      <c r="B54">
        <v>51</v>
      </c>
      <c r="C54">
        <v>52</v>
      </c>
      <c r="D54">
        <v>1</v>
      </c>
      <c r="E54">
        <v>2147483647</v>
      </c>
      <c r="F54">
        <v>0</v>
      </c>
      <c r="G54">
        <v>1</v>
      </c>
      <c r="H54">
        <v>0</v>
      </c>
      <c r="I54">
        <v>0</v>
      </c>
      <c r="J54">
        <v>0</v>
      </c>
      <c r="K54">
        <v>0</v>
      </c>
      <c r="L54">
        <v>0.67296114009411101</v>
      </c>
      <c r="M54">
        <v>5.0404881803545899E-3</v>
      </c>
      <c r="N54">
        <v>0.90023458192863304</v>
      </c>
      <c r="O54">
        <v>5.7783202465760504E-3</v>
      </c>
      <c r="P54">
        <v>0.227273441834517</v>
      </c>
      <c r="Q54">
        <v>1.05097233512897E-3</v>
      </c>
      <c r="R54">
        <v>0.59012699999999996</v>
      </c>
      <c r="S54">
        <v>4.7556374509857696E-3</v>
      </c>
      <c r="T54">
        <v>0.79115599999999997</v>
      </c>
      <c r="U54">
        <v>5.4715987631869401E-3</v>
      </c>
      <c r="V54">
        <v>0.20102900000000001</v>
      </c>
      <c r="W54">
        <v>1.0323143009879801E-3</v>
      </c>
      <c r="X54">
        <v>0</v>
      </c>
      <c r="Y54">
        <v>-1</v>
      </c>
      <c r="Z54">
        <v>-1</v>
      </c>
      <c r="AA54">
        <v>0.17279900000000001</v>
      </c>
      <c r="AB54">
        <v>9.0684374531908496</v>
      </c>
      <c r="AC54">
        <v>10.068686626767301</v>
      </c>
      <c r="AD54">
        <v>0.227491</v>
      </c>
      <c r="AE54">
        <v>7.8450490018645702</v>
      </c>
      <c r="AF54">
        <v>9.1496067829620795</v>
      </c>
      <c r="AH54" s="7">
        <f>SBC!D53</f>
        <v>0</v>
      </c>
      <c r="AI54" s="7">
        <f t="shared" si="6"/>
        <v>33.999999999999986</v>
      </c>
      <c r="AJ54" s="7">
        <f t="shared" si="1"/>
        <v>0.227491</v>
      </c>
      <c r="AK54" s="7">
        <f t="shared" si="7"/>
        <v>33.362498000000002</v>
      </c>
      <c r="AL54" s="7">
        <f t="shared" si="2"/>
        <v>-0.63750199999998358</v>
      </c>
      <c r="AM54">
        <f>SBC!K53</f>
        <v>0.12</v>
      </c>
      <c r="AN54">
        <f t="shared" si="9"/>
        <v>0.107491</v>
      </c>
      <c r="AO54">
        <f t="shared" si="10"/>
        <v>0.13000000000000245</v>
      </c>
      <c r="AP54">
        <f t="shared" si="11"/>
        <v>-0.6375019999999989</v>
      </c>
      <c r="AQ54">
        <f>SBC!I53</f>
        <v>0.13</v>
      </c>
      <c r="AR54">
        <f t="shared" si="8"/>
        <v>0.90023458192863304</v>
      </c>
    </row>
    <row r="55" spans="1:44" x14ac:dyDescent="0.3">
      <c r="A55">
        <v>53</v>
      </c>
      <c r="B55">
        <v>52</v>
      </c>
      <c r="C55">
        <v>53</v>
      </c>
      <c r="D55">
        <v>1</v>
      </c>
      <c r="E55">
        <v>2147483647</v>
      </c>
      <c r="F55">
        <v>0</v>
      </c>
      <c r="G55">
        <v>1</v>
      </c>
      <c r="H55">
        <v>0</v>
      </c>
      <c r="I55">
        <v>0</v>
      </c>
      <c r="J55">
        <v>0</v>
      </c>
      <c r="K55">
        <v>0</v>
      </c>
      <c r="L55">
        <v>0.51977578816597902</v>
      </c>
      <c r="M55">
        <v>4.4520347416057201E-3</v>
      </c>
      <c r="N55">
        <v>0.698393177375356</v>
      </c>
      <c r="O55">
        <v>5.13747823882985E-3</v>
      </c>
      <c r="P55">
        <v>0.178617389209377</v>
      </c>
      <c r="Q55" s="2">
        <v>9.6223172396006098E-4</v>
      </c>
      <c r="R55">
        <v>0.45508700000000002</v>
      </c>
      <c r="S55">
        <v>4.1929412560080797E-3</v>
      </c>
      <c r="T55">
        <v>0.61302900000000005</v>
      </c>
      <c r="U55">
        <v>4.8526576259280904E-3</v>
      </c>
      <c r="V55">
        <v>0.157942</v>
      </c>
      <c r="W55" s="2">
        <v>9.3937046061482701E-4</v>
      </c>
      <c r="X55">
        <v>0</v>
      </c>
      <c r="Y55">
        <v>-1</v>
      </c>
      <c r="Z55">
        <v>-1</v>
      </c>
      <c r="AA55">
        <v>0.13503999999999999</v>
      </c>
      <c r="AB55">
        <v>9.9688907963648496</v>
      </c>
      <c r="AC55">
        <v>10.9721340508998</v>
      </c>
      <c r="AD55">
        <v>0.17812700000000001</v>
      </c>
      <c r="AE55">
        <v>8.7583255453071196</v>
      </c>
      <c r="AF55">
        <v>10.067321005766701</v>
      </c>
      <c r="AH55" s="7">
        <f>SBC!D54</f>
        <v>0</v>
      </c>
      <c r="AI55" s="7">
        <f t="shared" si="6"/>
        <v>33.999999999999986</v>
      </c>
      <c r="AJ55" s="7">
        <f t="shared" si="1"/>
        <v>0.17812700000000001</v>
      </c>
      <c r="AK55" s="7">
        <f t="shared" si="7"/>
        <v>33.540625000000006</v>
      </c>
      <c r="AL55" s="7">
        <f t="shared" si="2"/>
        <v>-0.4593749999999801</v>
      </c>
      <c r="AM55">
        <f>SBC!K54</f>
        <v>0.02</v>
      </c>
      <c r="AN55">
        <f t="shared" si="9"/>
        <v>0.15812700000000002</v>
      </c>
      <c r="AO55">
        <f t="shared" si="10"/>
        <v>0.15000000000000244</v>
      </c>
      <c r="AP55">
        <f t="shared" si="11"/>
        <v>-0.45937499999999887</v>
      </c>
      <c r="AQ55">
        <f>SBC!I54</f>
        <v>0.02</v>
      </c>
      <c r="AR55">
        <f t="shared" si="8"/>
        <v>0.698393177375356</v>
      </c>
    </row>
    <row r="56" spans="1:44" x14ac:dyDescent="0.3">
      <c r="A56">
        <v>54</v>
      </c>
      <c r="B56">
        <v>53</v>
      </c>
      <c r="C56">
        <v>54</v>
      </c>
      <c r="D56">
        <v>1</v>
      </c>
      <c r="E56">
        <v>2147483647</v>
      </c>
      <c r="F56">
        <v>0</v>
      </c>
      <c r="G56">
        <v>1</v>
      </c>
      <c r="H56">
        <v>0</v>
      </c>
      <c r="I56">
        <v>0</v>
      </c>
      <c r="J56">
        <v>0</v>
      </c>
      <c r="K56">
        <v>0</v>
      </c>
      <c r="L56">
        <v>0.400348139971414</v>
      </c>
      <c r="M56">
        <v>3.9166721572339702E-3</v>
      </c>
      <c r="N56">
        <v>0.54048716328839996</v>
      </c>
      <c r="O56">
        <v>4.5448643391143798E-3</v>
      </c>
      <c r="P56">
        <v>0.140139023316978</v>
      </c>
      <c r="Q56" s="2">
        <v>8.7262933382555095E-4</v>
      </c>
      <c r="R56">
        <v>0.34997400000000001</v>
      </c>
      <c r="S56">
        <v>3.6799237159174398E-3</v>
      </c>
      <c r="T56">
        <v>0.47345100000000001</v>
      </c>
      <c r="U56">
        <v>4.28142283456913E-3</v>
      </c>
      <c r="V56">
        <v>0.123477</v>
      </c>
      <c r="W56" s="2">
        <v>8.47406464017772E-4</v>
      </c>
      <c r="X56">
        <v>0</v>
      </c>
      <c r="Y56">
        <v>-1</v>
      </c>
      <c r="Z56">
        <v>-1</v>
      </c>
      <c r="AA56">
        <v>0.105113</v>
      </c>
      <c r="AB56">
        <v>10.915740526059301</v>
      </c>
      <c r="AC56">
        <v>11.9166621564334</v>
      </c>
      <c r="AD56">
        <v>0.13957800000000001</v>
      </c>
      <c r="AE56">
        <v>9.6793121663533501</v>
      </c>
      <c r="AF56">
        <v>11.0015127439917</v>
      </c>
      <c r="AH56" s="7">
        <f>SBC!D55</f>
        <v>0</v>
      </c>
      <c r="AI56" s="7">
        <f t="shared" si="6"/>
        <v>33.999999999999986</v>
      </c>
      <c r="AJ56" s="7">
        <f t="shared" si="1"/>
        <v>0.13957800000000001</v>
      </c>
      <c r="AK56" s="7">
        <f t="shared" si="7"/>
        <v>33.680203000000006</v>
      </c>
      <c r="AL56" s="7">
        <f t="shared" si="2"/>
        <v>-0.3197969999999799</v>
      </c>
      <c r="AM56">
        <f>SBC!K55</f>
        <v>0</v>
      </c>
      <c r="AN56">
        <f t="shared" si="9"/>
        <v>0.13957800000000001</v>
      </c>
      <c r="AO56">
        <f t="shared" si="10"/>
        <v>0.15000000000000244</v>
      </c>
      <c r="AP56">
        <f t="shared" si="11"/>
        <v>-0.31979699999999889</v>
      </c>
      <c r="AQ56">
        <f>SBC!I55</f>
        <v>0</v>
      </c>
      <c r="AR56">
        <f t="shared" si="8"/>
        <v>0.54048716328839996</v>
      </c>
    </row>
    <row r="57" spans="1:44" x14ac:dyDescent="0.3">
      <c r="A57">
        <v>55</v>
      </c>
      <c r="B57">
        <v>54</v>
      </c>
      <c r="C57">
        <v>55</v>
      </c>
      <c r="D57">
        <v>1</v>
      </c>
      <c r="E57">
        <v>2147483647</v>
      </c>
      <c r="F57">
        <v>0</v>
      </c>
      <c r="G57">
        <v>1</v>
      </c>
      <c r="H57">
        <v>0</v>
      </c>
      <c r="I57">
        <v>0</v>
      </c>
      <c r="J57">
        <v>0</v>
      </c>
      <c r="K57">
        <v>0</v>
      </c>
      <c r="L57">
        <v>0.30744873938996498</v>
      </c>
      <c r="M57">
        <v>3.4314858945373602E-3</v>
      </c>
      <c r="N57">
        <v>0.416672619722259</v>
      </c>
      <c r="O57">
        <v>4.0016669232024798E-3</v>
      </c>
      <c r="P57">
        <v>0.109223880332287</v>
      </c>
      <c r="Q57" s="2">
        <v>7.8434902101953295E-4</v>
      </c>
      <c r="R57">
        <v>0.268372</v>
      </c>
      <c r="S57">
        <v>3.2198489325968899E-3</v>
      </c>
      <c r="T57">
        <v>0.364427</v>
      </c>
      <c r="U57">
        <v>3.7633350625093901E-3</v>
      </c>
      <c r="V57">
        <v>9.6055000000000001E-2</v>
      </c>
      <c r="W57" s="2">
        <v>7.5901100213199399E-4</v>
      </c>
      <c r="X57">
        <v>0</v>
      </c>
      <c r="Y57">
        <v>-1</v>
      </c>
      <c r="Z57">
        <v>-1</v>
      </c>
      <c r="AA57">
        <v>8.1601999999999994E-2</v>
      </c>
      <c r="AB57">
        <v>11.840876228090501</v>
      </c>
      <c r="AC57">
        <v>12.8492529434114</v>
      </c>
      <c r="AD57">
        <v>0.109024</v>
      </c>
      <c r="AE57">
        <v>10.5958068640865</v>
      </c>
      <c r="AF57">
        <v>11.9259959251212</v>
      </c>
      <c r="AH57" s="7">
        <f>SBC!D56</f>
        <v>0</v>
      </c>
      <c r="AI57" s="7">
        <f t="shared" si="6"/>
        <v>33.999999999999986</v>
      </c>
      <c r="AJ57" s="7">
        <f t="shared" si="1"/>
        <v>0.109024</v>
      </c>
      <c r="AK57" s="7">
        <f t="shared" si="7"/>
        <v>33.789227000000004</v>
      </c>
      <c r="AL57" s="7">
        <f t="shared" si="2"/>
        <v>-0.21077299999998189</v>
      </c>
      <c r="AM57">
        <f>SBC!K56</f>
        <v>0</v>
      </c>
      <c r="AN57">
        <f t="shared" si="9"/>
        <v>0.109024</v>
      </c>
      <c r="AO57">
        <f t="shared" si="10"/>
        <v>0.15000000000000244</v>
      </c>
      <c r="AP57">
        <f t="shared" si="11"/>
        <v>-0.21077299999999888</v>
      </c>
      <c r="AQ57">
        <f>SBC!I56</f>
        <v>0</v>
      </c>
      <c r="AR57">
        <f t="shared" si="8"/>
        <v>0.416672619722259</v>
      </c>
    </row>
    <row r="58" spans="1:44" x14ac:dyDescent="0.3">
      <c r="A58">
        <v>56</v>
      </c>
      <c r="B58">
        <v>55</v>
      </c>
      <c r="C58">
        <v>56</v>
      </c>
      <c r="D58">
        <v>1</v>
      </c>
      <c r="E58">
        <v>2147483647</v>
      </c>
      <c r="F58">
        <v>0</v>
      </c>
      <c r="G58">
        <v>1</v>
      </c>
      <c r="H58">
        <v>0</v>
      </c>
      <c r="I58">
        <v>0</v>
      </c>
      <c r="J58">
        <v>0</v>
      </c>
      <c r="K58">
        <v>0</v>
      </c>
      <c r="L58">
        <v>0.23542244733569401</v>
      </c>
      <c r="M58">
        <v>2.9950489794907799E-3</v>
      </c>
      <c r="N58">
        <v>0.32030653063132702</v>
      </c>
      <c r="O58">
        <v>3.5088582164068999E-3</v>
      </c>
      <c r="P58">
        <v>8.4884083295635404E-2</v>
      </c>
      <c r="Q58" s="2">
        <v>7.0118869790966501E-4</v>
      </c>
      <c r="R58">
        <v>0.205205</v>
      </c>
      <c r="S58">
        <v>2.8050295133282802E-3</v>
      </c>
      <c r="T58">
        <v>0.27985199999999999</v>
      </c>
      <c r="U58">
        <v>3.2933655952797698E-3</v>
      </c>
      <c r="V58">
        <v>7.4647000000000005E-2</v>
      </c>
      <c r="W58" s="2">
        <v>6.7698177538459703E-4</v>
      </c>
      <c r="X58">
        <v>0</v>
      </c>
      <c r="Y58">
        <v>-1</v>
      </c>
      <c r="Z58">
        <v>-1</v>
      </c>
      <c r="AA58">
        <v>6.3167000000000001E-2</v>
      </c>
      <c r="AB58">
        <v>12.8002588655467</v>
      </c>
      <c r="AC58">
        <v>13.794588174168901</v>
      </c>
      <c r="AD58">
        <v>8.4574999999999997E-2</v>
      </c>
      <c r="AE58">
        <v>11.5479015777371</v>
      </c>
      <c r="AF58">
        <v>12.883812776433899</v>
      </c>
      <c r="AH58" s="7">
        <f>SBC!D57</f>
        <v>0</v>
      </c>
      <c r="AI58" s="7">
        <f t="shared" si="6"/>
        <v>33.999999999999986</v>
      </c>
      <c r="AJ58" s="7">
        <f t="shared" si="1"/>
        <v>8.4574999999999997E-2</v>
      </c>
      <c r="AK58" s="7">
        <f t="shared" si="7"/>
        <v>33.873802000000005</v>
      </c>
      <c r="AL58" s="7">
        <f t="shared" si="2"/>
        <v>-0.12619799999998094</v>
      </c>
      <c r="AM58">
        <f>SBC!K57</f>
        <v>0</v>
      </c>
      <c r="AN58">
        <f t="shared" si="9"/>
        <v>8.4574999999999997E-2</v>
      </c>
      <c r="AO58">
        <f t="shared" si="10"/>
        <v>0.15000000000000244</v>
      </c>
      <c r="AP58">
        <f t="shared" si="11"/>
        <v>-0.12619799999999887</v>
      </c>
      <c r="AQ58">
        <f>SBC!I57</f>
        <v>0</v>
      </c>
      <c r="AR58">
        <f t="shared" si="8"/>
        <v>0.32030653063132702</v>
      </c>
    </row>
    <row r="59" spans="1:44" x14ac:dyDescent="0.3">
      <c r="A59">
        <v>57</v>
      </c>
      <c r="B59">
        <v>56</v>
      </c>
      <c r="C59">
        <v>57</v>
      </c>
      <c r="D59">
        <v>1</v>
      </c>
      <c r="E59">
        <v>2147483647</v>
      </c>
      <c r="F59">
        <v>0</v>
      </c>
      <c r="G59">
        <v>1</v>
      </c>
      <c r="H59">
        <v>0</v>
      </c>
      <c r="I59">
        <v>0</v>
      </c>
      <c r="J59">
        <v>0</v>
      </c>
      <c r="K59">
        <v>0</v>
      </c>
      <c r="L59">
        <v>0.17929274500539399</v>
      </c>
      <c r="M59">
        <v>2.6032649813979999E-3</v>
      </c>
      <c r="N59">
        <v>0.245206978035162</v>
      </c>
      <c r="O59">
        <v>3.0630510666851702E-3</v>
      </c>
      <c r="P59">
        <v>6.5914233029768898E-2</v>
      </c>
      <c r="Q59" s="2">
        <v>6.2436426253557995E-4</v>
      </c>
      <c r="R59">
        <v>0.15584700000000001</v>
      </c>
      <c r="S59">
        <v>2.4352265580707601E-3</v>
      </c>
      <c r="T59">
        <v>0.213641</v>
      </c>
      <c r="U59">
        <v>2.8705679273109E-3</v>
      </c>
      <c r="V59">
        <v>5.7793999999999998E-2</v>
      </c>
      <c r="W59" s="2">
        <v>6.0107877014938004E-4</v>
      </c>
      <c r="X59">
        <v>0</v>
      </c>
      <c r="Y59">
        <v>-1</v>
      </c>
      <c r="Z59">
        <v>-1</v>
      </c>
      <c r="AA59">
        <v>4.9357999999999999E-2</v>
      </c>
      <c r="AB59">
        <v>13.6848080743457</v>
      </c>
      <c r="AC59">
        <v>14.685416367715399</v>
      </c>
      <c r="AD59">
        <v>6.6211000000000006E-2</v>
      </c>
      <c r="AE59">
        <v>12.462718751587101</v>
      </c>
      <c r="AF59">
        <v>13.7948374517816</v>
      </c>
      <c r="AH59" s="7">
        <f>SBC!D58</f>
        <v>0</v>
      </c>
      <c r="AI59" s="7">
        <f t="shared" si="6"/>
        <v>33.999999999999986</v>
      </c>
      <c r="AJ59" s="7">
        <f t="shared" si="1"/>
        <v>6.6211000000000006E-2</v>
      </c>
      <c r="AK59" s="7">
        <f t="shared" si="7"/>
        <v>33.940013000000008</v>
      </c>
      <c r="AL59" s="7">
        <f t="shared" si="2"/>
        <v>-5.9986999999978252E-2</v>
      </c>
      <c r="AM59">
        <f>SBC!K58</f>
        <v>0</v>
      </c>
      <c r="AN59">
        <f t="shared" si="9"/>
        <v>6.6211000000000006E-2</v>
      </c>
      <c r="AO59">
        <f t="shared" si="10"/>
        <v>0.15000000000000244</v>
      </c>
      <c r="AP59">
        <f t="shared" si="11"/>
        <v>-5.9986999999998861E-2</v>
      </c>
      <c r="AQ59">
        <f>SBC!I58</f>
        <v>0</v>
      </c>
      <c r="AR59">
        <f t="shared" si="8"/>
        <v>0.245206978035162</v>
      </c>
    </row>
    <row r="60" spans="1:44" x14ac:dyDescent="0.3">
      <c r="A60">
        <v>58</v>
      </c>
      <c r="B60">
        <v>57</v>
      </c>
      <c r="C60">
        <v>58</v>
      </c>
      <c r="D60">
        <v>1</v>
      </c>
      <c r="E60">
        <v>2147483647</v>
      </c>
      <c r="F60">
        <v>0</v>
      </c>
      <c r="G60">
        <v>1</v>
      </c>
      <c r="H60">
        <v>0</v>
      </c>
      <c r="I60">
        <v>0</v>
      </c>
      <c r="J60">
        <v>0</v>
      </c>
      <c r="K60">
        <v>0</v>
      </c>
      <c r="L60">
        <v>0.136365039797124</v>
      </c>
      <c r="M60">
        <v>2.2614381449789999E-3</v>
      </c>
      <c r="N60">
        <v>0.18723968059976101</v>
      </c>
      <c r="O60">
        <v>2.6705194699685499E-3</v>
      </c>
      <c r="P60">
        <v>5.0874640802635498E-2</v>
      </c>
      <c r="Q60" s="2">
        <v>5.5285949615213397E-4</v>
      </c>
      <c r="R60">
        <v>0.11842900000000001</v>
      </c>
      <c r="S60">
        <v>2.1138278728292802E-3</v>
      </c>
      <c r="T60">
        <v>0.16291700000000001</v>
      </c>
      <c r="U60">
        <v>2.50038478507406E-3</v>
      </c>
      <c r="V60">
        <v>4.4488E-2</v>
      </c>
      <c r="W60" s="2">
        <v>5.3107589957199599E-4</v>
      </c>
      <c r="X60">
        <v>0</v>
      </c>
      <c r="Y60">
        <v>-1</v>
      </c>
      <c r="Z60">
        <v>-1</v>
      </c>
      <c r="AA60">
        <v>3.7418E-2</v>
      </c>
      <c r="AB60">
        <v>14.612761449013099</v>
      </c>
      <c r="AC60">
        <v>15.6196378895353</v>
      </c>
      <c r="AD60">
        <v>5.0723999999999998E-2</v>
      </c>
      <c r="AE60">
        <v>13.3579487390551</v>
      </c>
      <c r="AF60">
        <v>14.7073099430034</v>
      </c>
      <c r="AH60" s="7">
        <f>SBC!D59</f>
        <v>0</v>
      </c>
      <c r="AI60" s="7">
        <f t="shared" si="6"/>
        <v>33.999999999999986</v>
      </c>
      <c r="AJ60" s="7">
        <f t="shared" si="1"/>
        <v>5.0723999999999998E-2</v>
      </c>
      <c r="AK60" s="7">
        <f t="shared" si="7"/>
        <v>33.99073700000001</v>
      </c>
      <c r="AL60" s="7">
        <f t="shared" si="2"/>
        <v>-9.2629999999758184E-3</v>
      </c>
      <c r="AM60">
        <f>SBC!K59</f>
        <v>0</v>
      </c>
      <c r="AN60">
        <f t="shared" si="9"/>
        <v>5.0723999999999998E-2</v>
      </c>
      <c r="AO60">
        <f t="shared" si="10"/>
        <v>0.15000000000000244</v>
      </c>
      <c r="AP60">
        <f t="shared" si="11"/>
        <v>-9.2629999999988624E-3</v>
      </c>
      <c r="AQ60">
        <f>SBC!I59</f>
        <v>0</v>
      </c>
      <c r="AR60">
        <f t="shared" si="8"/>
        <v>0.18723968059976101</v>
      </c>
    </row>
    <row r="61" spans="1:44" x14ac:dyDescent="0.3">
      <c r="A61">
        <v>59</v>
      </c>
      <c r="B61">
        <v>58</v>
      </c>
      <c r="C61">
        <v>59</v>
      </c>
      <c r="D61">
        <v>1</v>
      </c>
      <c r="E61">
        <v>2147483647</v>
      </c>
      <c r="F61">
        <v>0</v>
      </c>
      <c r="G61">
        <v>1</v>
      </c>
      <c r="H61">
        <v>0</v>
      </c>
      <c r="I61">
        <v>0</v>
      </c>
      <c r="J61">
        <v>0</v>
      </c>
      <c r="K61">
        <v>0</v>
      </c>
      <c r="L61">
        <v>0.103433993615662</v>
      </c>
      <c r="M61">
        <v>1.9577476650411898E-3</v>
      </c>
      <c r="N61">
        <v>0.142524840137218</v>
      </c>
      <c r="O61">
        <v>2.3206477159007301E-3</v>
      </c>
      <c r="P61">
        <v>3.9090846521556401E-2</v>
      </c>
      <c r="Q61" s="2">
        <v>4.8770289257273498E-4</v>
      </c>
      <c r="R61">
        <v>8.9575000000000002E-2</v>
      </c>
      <c r="S61">
        <v>1.82667404425362E-3</v>
      </c>
      <c r="T61">
        <v>0.123767</v>
      </c>
      <c r="U61">
        <v>2.16883409380188E-3</v>
      </c>
      <c r="V61">
        <v>3.4192E-2</v>
      </c>
      <c r="W61" s="2">
        <v>4.68085007570725E-4</v>
      </c>
      <c r="X61">
        <v>0</v>
      </c>
      <c r="Y61">
        <v>-1</v>
      </c>
      <c r="Z61">
        <v>-1</v>
      </c>
      <c r="AA61">
        <v>2.8854000000000001E-2</v>
      </c>
      <c r="AB61">
        <v>15.5544278849659</v>
      </c>
      <c r="AC61">
        <v>16.552838027187999</v>
      </c>
      <c r="AD61">
        <v>3.9149999999999997E-2</v>
      </c>
      <c r="AE61">
        <v>14.2915997845719</v>
      </c>
      <c r="AF61">
        <v>15.6422594471187</v>
      </c>
      <c r="AH61" s="7">
        <f>SBC!D60</f>
        <v>0</v>
      </c>
      <c r="AI61" s="7">
        <f t="shared" si="6"/>
        <v>33.999999999999986</v>
      </c>
      <c r="AJ61" s="7">
        <f t="shared" si="1"/>
        <v>3.9149999999999997E-2</v>
      </c>
      <c r="AK61" s="7">
        <f t="shared" si="7"/>
        <v>34.029887000000009</v>
      </c>
      <c r="AL61" s="7">
        <f t="shared" si="2"/>
        <v>2.9887000000023534E-2</v>
      </c>
      <c r="AM61">
        <f>SBC!K60</f>
        <v>0</v>
      </c>
      <c r="AN61">
        <f t="shared" si="9"/>
        <v>3.9149999999999997E-2</v>
      </c>
      <c r="AO61">
        <f t="shared" si="10"/>
        <v>0.15000000000000244</v>
      </c>
      <c r="AP61">
        <f t="shared" si="11"/>
        <v>2.9887000000001135E-2</v>
      </c>
      <c r="AQ61">
        <f>SBC!I60</f>
        <v>0</v>
      </c>
      <c r="AR61">
        <f t="shared" si="8"/>
        <v>0.142524840137218</v>
      </c>
    </row>
    <row r="62" spans="1:44" x14ac:dyDescent="0.3">
      <c r="A62">
        <v>60</v>
      </c>
      <c r="B62">
        <v>59</v>
      </c>
      <c r="C62">
        <v>60</v>
      </c>
      <c r="D62">
        <v>1</v>
      </c>
      <c r="E62">
        <v>2147483647</v>
      </c>
      <c r="F62">
        <v>0</v>
      </c>
      <c r="G62">
        <v>1</v>
      </c>
      <c r="H62">
        <v>0</v>
      </c>
      <c r="I62">
        <v>0</v>
      </c>
      <c r="J62">
        <v>0</v>
      </c>
      <c r="K62">
        <v>0</v>
      </c>
      <c r="L62">
        <v>7.7904577296792496E-2</v>
      </c>
      <c r="M62">
        <v>1.6877601278975499E-3</v>
      </c>
      <c r="N62">
        <v>0.10797541876634</v>
      </c>
      <c r="O62">
        <v>2.0081752702716701E-3</v>
      </c>
      <c r="P62">
        <v>3.00708414695471E-2</v>
      </c>
      <c r="Q62" s="2">
        <v>4.2985861695595901E-4</v>
      </c>
      <c r="R62">
        <v>6.7320000000000005E-2</v>
      </c>
      <c r="S62">
        <v>1.570825140844E-3</v>
      </c>
      <c r="T62">
        <v>9.3590000000000007E-2</v>
      </c>
      <c r="U62">
        <v>1.8727163228681499E-3</v>
      </c>
      <c r="V62">
        <v>2.6270000000000002E-2</v>
      </c>
      <c r="W62" s="2">
        <v>4.1197075863985401E-4</v>
      </c>
      <c r="X62">
        <v>0</v>
      </c>
      <c r="Y62">
        <v>-1</v>
      </c>
      <c r="Z62">
        <v>-1</v>
      </c>
      <c r="AA62">
        <v>2.2255E-2</v>
      </c>
      <c r="AB62">
        <v>16.501087030532101</v>
      </c>
      <c r="AC62">
        <v>17.497539697112899</v>
      </c>
      <c r="AD62">
        <v>3.0176999999999999E-2</v>
      </c>
      <c r="AE62">
        <v>15.249064998149001</v>
      </c>
      <c r="AF62">
        <v>16.596994033127199</v>
      </c>
      <c r="AH62" s="7">
        <f>SBC!D61</f>
        <v>0</v>
      </c>
      <c r="AI62" s="7">
        <f t="shared" si="6"/>
        <v>33.999999999999986</v>
      </c>
      <c r="AJ62" s="7">
        <f t="shared" si="1"/>
        <v>3.0176999999999999E-2</v>
      </c>
      <c r="AK62" s="7">
        <f t="shared" si="7"/>
        <v>34.060064000000011</v>
      </c>
      <c r="AL62" s="7">
        <f t="shared" si="2"/>
        <v>6.006400000002543E-2</v>
      </c>
      <c r="AM62">
        <f>SBC!K61</f>
        <v>0</v>
      </c>
      <c r="AN62">
        <f t="shared" si="9"/>
        <v>3.0176999999999999E-2</v>
      </c>
      <c r="AO62">
        <f t="shared" si="10"/>
        <v>0.15000000000000244</v>
      </c>
      <c r="AP62">
        <f t="shared" si="11"/>
        <v>6.006400000000113E-2</v>
      </c>
      <c r="AQ62">
        <f>SBC!I61</f>
        <v>0</v>
      </c>
      <c r="AR62">
        <f t="shared" si="8"/>
        <v>0.10797541876634</v>
      </c>
    </row>
    <row r="63" spans="1:44" x14ac:dyDescent="0.3">
      <c r="A63">
        <v>61</v>
      </c>
      <c r="B63">
        <v>60</v>
      </c>
      <c r="C63">
        <v>61</v>
      </c>
      <c r="D63">
        <v>1</v>
      </c>
      <c r="E63">
        <v>2147483647</v>
      </c>
      <c r="F63">
        <v>0</v>
      </c>
      <c r="G63">
        <v>1</v>
      </c>
      <c r="H63">
        <v>0</v>
      </c>
      <c r="I63">
        <v>0</v>
      </c>
      <c r="J63">
        <v>0</v>
      </c>
      <c r="K63">
        <v>0</v>
      </c>
      <c r="L63">
        <v>5.8514185103241703E-2</v>
      </c>
      <c r="M63">
        <v>1.44880669401342E-3</v>
      </c>
      <c r="N63">
        <v>8.1620915393736698E-2</v>
      </c>
      <c r="O63">
        <v>1.7315505021615E-3</v>
      </c>
      <c r="P63">
        <v>2.31067302904947E-2</v>
      </c>
      <c r="Q63" s="2">
        <v>3.7820440052707498E-4</v>
      </c>
      <c r="R63">
        <v>5.0549999999999998E-2</v>
      </c>
      <c r="S63" s="2">
        <v>1.3489987131135701E-3</v>
      </c>
      <c r="T63">
        <v>7.0751999999999995E-2</v>
      </c>
      <c r="U63">
        <v>1.6150432365826101E-3</v>
      </c>
      <c r="V63">
        <v>2.0202000000000001E-2</v>
      </c>
      <c r="W63" s="2">
        <v>3.6239528390773099E-4</v>
      </c>
      <c r="X63">
        <v>0</v>
      </c>
      <c r="Y63">
        <v>-1</v>
      </c>
      <c r="Z63">
        <v>-1</v>
      </c>
      <c r="AA63">
        <v>1.677E-2</v>
      </c>
      <c r="AB63">
        <v>17.406730263089901</v>
      </c>
      <c r="AC63">
        <v>18.415769246714699</v>
      </c>
      <c r="AD63">
        <v>2.2838000000000001E-2</v>
      </c>
      <c r="AE63">
        <v>16.159513731203202</v>
      </c>
      <c r="AF63">
        <v>17.512549937750101</v>
      </c>
      <c r="AH63" s="7">
        <f>SBC!D62</f>
        <v>0</v>
      </c>
      <c r="AI63" s="7">
        <f t="shared" si="6"/>
        <v>33.999999999999986</v>
      </c>
      <c r="AJ63" s="7">
        <f t="shared" si="1"/>
        <v>2.2838000000000001E-2</v>
      </c>
      <c r="AK63" s="7">
        <f t="shared" si="7"/>
        <v>34.082902000000011</v>
      </c>
      <c r="AL63" s="7">
        <f t="shared" si="2"/>
        <v>8.2902000000025566E-2</v>
      </c>
      <c r="AM63">
        <f>SBC!K62</f>
        <v>0</v>
      </c>
      <c r="AN63">
        <f t="shared" si="9"/>
        <v>2.2838000000000001E-2</v>
      </c>
      <c r="AO63">
        <f t="shared" si="10"/>
        <v>0.15000000000000244</v>
      </c>
      <c r="AP63">
        <f t="shared" si="11"/>
        <v>8.2902000000001128E-2</v>
      </c>
      <c r="AQ63">
        <f>SBC!I62</f>
        <v>0</v>
      </c>
      <c r="AR63">
        <f t="shared" si="8"/>
        <v>8.1620915393736698E-2</v>
      </c>
    </row>
    <row r="64" spans="1:44" x14ac:dyDescent="0.3">
      <c r="A64">
        <v>62</v>
      </c>
      <c r="B64">
        <v>61</v>
      </c>
      <c r="C64">
        <v>62</v>
      </c>
      <c r="D64">
        <v>1</v>
      </c>
      <c r="E64">
        <v>2147483647</v>
      </c>
      <c r="F64">
        <v>0</v>
      </c>
      <c r="G64">
        <v>1</v>
      </c>
      <c r="H64">
        <v>0</v>
      </c>
      <c r="I64">
        <v>0</v>
      </c>
      <c r="J64">
        <v>0</v>
      </c>
      <c r="K64">
        <v>0</v>
      </c>
      <c r="L64">
        <v>4.3679787676909901E-2</v>
      </c>
      <c r="M64" s="2">
        <v>1.2407814255449099E-3</v>
      </c>
      <c r="N64">
        <v>6.14095757303404E-2</v>
      </c>
      <c r="O64">
        <v>1.4890608831240699E-3</v>
      </c>
      <c r="P64">
        <v>1.77297880534306E-2</v>
      </c>
      <c r="Q64" s="2">
        <v>3.3216458715256298E-4</v>
      </c>
      <c r="R64">
        <v>3.7430999999999999E-2</v>
      </c>
      <c r="S64" s="2">
        <v>1.15006644956471E-3</v>
      </c>
      <c r="T64">
        <v>5.2894999999999998E-2</v>
      </c>
      <c r="U64" s="2">
        <v>1.3829999554733901E-3</v>
      </c>
      <c r="V64">
        <v>1.5464E-2</v>
      </c>
      <c r="W64" s="2">
        <v>3.1782920425218602E-4</v>
      </c>
      <c r="X64">
        <v>0</v>
      </c>
      <c r="Y64">
        <v>-1</v>
      </c>
      <c r="Z64">
        <v>-1</v>
      </c>
      <c r="AA64">
        <v>1.3119E-2</v>
      </c>
      <c r="AB64">
        <v>18.321979298926099</v>
      </c>
      <c r="AC64">
        <v>19.3118193154789</v>
      </c>
      <c r="AD64">
        <v>1.7857000000000001E-2</v>
      </c>
      <c r="AE64">
        <v>17.077214091792602</v>
      </c>
      <c r="AF64">
        <v>18.441806906574801</v>
      </c>
      <c r="AH64" s="7">
        <f>SBC!D63</f>
        <v>0</v>
      </c>
      <c r="AI64" s="7">
        <f t="shared" si="6"/>
        <v>33.999999999999986</v>
      </c>
      <c r="AJ64" s="7">
        <f t="shared" si="1"/>
        <v>1.7857000000000001E-2</v>
      </c>
      <c r="AK64" s="7">
        <f t="shared" si="7"/>
        <v>34.100759000000011</v>
      </c>
      <c r="AL64" s="7">
        <f t="shared" si="2"/>
        <v>0.10075900000002491</v>
      </c>
      <c r="AM64">
        <f>SBC!K63</f>
        <v>0</v>
      </c>
      <c r="AN64">
        <f t="shared" si="9"/>
        <v>1.7857000000000001E-2</v>
      </c>
      <c r="AO64">
        <f t="shared" si="10"/>
        <v>0.15000000000000244</v>
      </c>
      <c r="AP64">
        <f t="shared" si="11"/>
        <v>0.10075900000000113</v>
      </c>
      <c r="AQ64">
        <f>SBC!I63</f>
        <v>0</v>
      </c>
      <c r="AR64">
        <f t="shared" si="8"/>
        <v>6.14095757303404E-2</v>
      </c>
    </row>
    <row r="65" spans="1:44" x14ac:dyDescent="0.3">
      <c r="A65">
        <v>63</v>
      </c>
      <c r="B65">
        <v>62</v>
      </c>
      <c r="C65">
        <v>63</v>
      </c>
      <c r="D65">
        <v>1</v>
      </c>
      <c r="E65">
        <v>2147483647</v>
      </c>
      <c r="F65">
        <v>0</v>
      </c>
      <c r="G65">
        <v>1</v>
      </c>
      <c r="H65">
        <v>0</v>
      </c>
      <c r="I65">
        <v>0</v>
      </c>
      <c r="J65">
        <v>0</v>
      </c>
      <c r="K65">
        <v>0</v>
      </c>
      <c r="L65">
        <v>3.24237589075713E-2</v>
      </c>
      <c r="M65" s="2">
        <v>1.0602854339972401E-3</v>
      </c>
      <c r="N65">
        <v>4.5886671719887202E-2</v>
      </c>
      <c r="O65" s="2">
        <v>1.27713555632089E-3</v>
      </c>
      <c r="P65">
        <v>1.34629128123157E-2</v>
      </c>
      <c r="Q65" s="2">
        <v>2.8964466745933399E-4</v>
      </c>
      <c r="R65">
        <v>2.7803999999999999E-2</v>
      </c>
      <c r="S65" s="2">
        <v>9.8459685310694892E-4</v>
      </c>
      <c r="T65">
        <v>3.9468999999999997E-2</v>
      </c>
      <c r="U65" s="2">
        <v>1.18767575391973E-3</v>
      </c>
      <c r="V65">
        <v>1.1665E-2</v>
      </c>
      <c r="W65" s="2">
        <v>2.7657411973604202E-4</v>
      </c>
      <c r="X65">
        <v>0</v>
      </c>
      <c r="Y65">
        <v>-1</v>
      </c>
      <c r="Z65">
        <v>-1</v>
      </c>
      <c r="AA65">
        <v>9.6270000000000001E-3</v>
      </c>
      <c r="AB65">
        <v>19.234116078637101</v>
      </c>
      <c r="AC65">
        <v>20.232690495512301</v>
      </c>
      <c r="AD65">
        <v>1.3426E-2</v>
      </c>
      <c r="AE65">
        <v>17.922709511734102</v>
      </c>
      <c r="AF65">
        <v>19.2985344892931</v>
      </c>
      <c r="AH65" s="7">
        <f>SBC!D64</f>
        <v>0</v>
      </c>
      <c r="AI65" s="7">
        <f t="shared" si="6"/>
        <v>33.999999999999986</v>
      </c>
      <c r="AJ65" s="7">
        <f t="shared" si="1"/>
        <v>1.3426E-2</v>
      </c>
      <c r="AK65" s="7">
        <f t="shared" si="7"/>
        <v>34.114185000000013</v>
      </c>
      <c r="AL65" s="7">
        <f t="shared" si="2"/>
        <v>0.11418500000002751</v>
      </c>
      <c r="AM65">
        <f>SBC!K64</f>
        <v>0</v>
      </c>
      <c r="AN65">
        <f t="shared" si="9"/>
        <v>1.3426E-2</v>
      </c>
      <c r="AO65">
        <f t="shared" si="10"/>
        <v>0.15000000000000244</v>
      </c>
      <c r="AP65">
        <f t="shared" si="11"/>
        <v>0.11418500000000112</v>
      </c>
      <c r="AQ65">
        <f>SBC!I64</f>
        <v>0</v>
      </c>
      <c r="AR65">
        <f t="shared" si="8"/>
        <v>4.5886671719887202E-2</v>
      </c>
    </row>
    <row r="66" spans="1:44" x14ac:dyDescent="0.3">
      <c r="A66">
        <v>64</v>
      </c>
      <c r="B66">
        <v>63</v>
      </c>
      <c r="C66">
        <v>64</v>
      </c>
      <c r="D66">
        <v>1</v>
      </c>
      <c r="E66">
        <v>2147483647</v>
      </c>
      <c r="F66">
        <v>0</v>
      </c>
      <c r="G66">
        <v>1</v>
      </c>
      <c r="H66">
        <v>0</v>
      </c>
      <c r="I66">
        <v>0</v>
      </c>
      <c r="J66">
        <v>0</v>
      </c>
      <c r="K66">
        <v>0</v>
      </c>
      <c r="L66">
        <v>2.3989729257156901E-2</v>
      </c>
      <c r="M66" s="2">
        <v>9.0561173585309597E-4</v>
      </c>
      <c r="N66">
        <v>3.4138587188071799E-2</v>
      </c>
      <c r="O66" s="2">
        <v>1.0943520364187799E-3</v>
      </c>
      <c r="P66">
        <v>1.01488579309149E-2</v>
      </c>
      <c r="Q66" s="2">
        <v>2.5189783851797202E-4</v>
      </c>
      <c r="R66">
        <v>2.0518999999999999E-2</v>
      </c>
      <c r="S66" s="2">
        <v>8.3990194761446996E-4</v>
      </c>
      <c r="T66">
        <v>2.9294000000000001E-2</v>
      </c>
      <c r="U66" s="2">
        <v>1.0163853661270699E-3</v>
      </c>
      <c r="V66">
        <v>8.7749999999999998E-3</v>
      </c>
      <c r="W66" s="2">
        <v>2.40229736895481E-4</v>
      </c>
      <c r="X66">
        <v>0</v>
      </c>
      <c r="Y66">
        <v>-1</v>
      </c>
      <c r="Z66">
        <v>-1</v>
      </c>
      <c r="AA66">
        <v>7.2849999999999998E-3</v>
      </c>
      <c r="AB66">
        <v>20.214739792197101</v>
      </c>
      <c r="AC66">
        <v>21.219450719001301</v>
      </c>
      <c r="AD66">
        <v>1.0175E-2</v>
      </c>
      <c r="AE66">
        <v>18.9382949349332</v>
      </c>
      <c r="AF66">
        <v>20.310418066143001</v>
      </c>
      <c r="AH66" s="7">
        <f>SBC!D65</f>
        <v>0</v>
      </c>
      <c r="AI66" s="7">
        <f t="shared" si="6"/>
        <v>33.999999999999986</v>
      </c>
      <c r="AJ66" s="7">
        <f t="shared" si="1"/>
        <v>1.0175E-2</v>
      </c>
      <c r="AK66" s="7">
        <f t="shared" si="7"/>
        <v>34.12436000000001</v>
      </c>
      <c r="AL66" s="7">
        <f t="shared" si="2"/>
        <v>0.12436000000002423</v>
      </c>
      <c r="AM66">
        <f>SBC!K65</f>
        <v>0</v>
      </c>
      <c r="AN66">
        <f t="shared" si="9"/>
        <v>1.0175E-2</v>
      </c>
      <c r="AO66">
        <f t="shared" si="10"/>
        <v>0.15000000000000244</v>
      </c>
      <c r="AP66">
        <f t="shared" si="11"/>
        <v>0.12436000000000112</v>
      </c>
      <c r="AQ66">
        <f>SBC!I65</f>
        <v>0</v>
      </c>
      <c r="AR66">
        <f t="shared" ref="AR66:AR102" si="12">N66</f>
        <v>3.4138587188071799E-2</v>
      </c>
    </row>
    <row r="67" spans="1:44" x14ac:dyDescent="0.3">
      <c r="A67">
        <v>65</v>
      </c>
      <c r="B67">
        <v>64</v>
      </c>
      <c r="C67">
        <v>65</v>
      </c>
      <c r="D67">
        <v>1</v>
      </c>
      <c r="E67">
        <v>2147483647</v>
      </c>
      <c r="F67">
        <v>0</v>
      </c>
      <c r="G67">
        <v>1</v>
      </c>
      <c r="H67">
        <v>0</v>
      </c>
      <c r="I67">
        <v>0</v>
      </c>
      <c r="J67">
        <v>0</v>
      </c>
      <c r="K67">
        <v>0</v>
      </c>
      <c r="L67">
        <v>1.7631989215453E-2</v>
      </c>
      <c r="M67" s="2">
        <v>7.7010873412679498E-4</v>
      </c>
      <c r="N67">
        <v>2.5278605494756301E-2</v>
      </c>
      <c r="O67" s="2">
        <v>9.3403008420842504E-4</v>
      </c>
      <c r="P67">
        <v>7.64661627930323E-3</v>
      </c>
      <c r="Q67" s="2">
        <v>2.1898072187587301E-4</v>
      </c>
      <c r="R67">
        <v>1.5073E-2</v>
      </c>
      <c r="S67" s="2">
        <v>7.1308057729918995E-4</v>
      </c>
      <c r="T67">
        <v>2.1683000000000001E-2</v>
      </c>
      <c r="U67" s="2">
        <v>8.6645494606090497E-4</v>
      </c>
      <c r="V67">
        <v>6.6100000000000004E-3</v>
      </c>
      <c r="W67" s="2">
        <v>2.08726553095117E-4</v>
      </c>
      <c r="X67">
        <v>0</v>
      </c>
      <c r="Y67">
        <v>-1</v>
      </c>
      <c r="Z67">
        <v>-1</v>
      </c>
      <c r="AA67">
        <v>5.4460000000000003E-3</v>
      </c>
      <c r="AB67">
        <v>21.160273311069101</v>
      </c>
      <c r="AC67">
        <v>22.153074686968299</v>
      </c>
      <c r="AD67">
        <v>7.6109999999999997E-3</v>
      </c>
      <c r="AE67">
        <v>19.841708365703202</v>
      </c>
      <c r="AF67">
        <v>21.2449574642296</v>
      </c>
      <c r="AH67" s="7">
        <f>SBC!D66</f>
        <v>0</v>
      </c>
      <c r="AI67" s="7">
        <f t="shared" si="6"/>
        <v>33.999999999999986</v>
      </c>
      <c r="AJ67" s="7">
        <f t="shared" ref="AJ67:AJ102" si="13">AD67</f>
        <v>7.6109999999999997E-3</v>
      </c>
      <c r="AK67" s="7">
        <f t="shared" si="7"/>
        <v>34.131971000000007</v>
      </c>
      <c r="AL67" s="7">
        <f t="shared" ref="AL67:AL102" si="14">AK67-AI67</f>
        <v>0.13197100000002138</v>
      </c>
      <c r="AM67">
        <f>SBC!K66</f>
        <v>0</v>
      </c>
      <c r="AN67">
        <f t="shared" ref="AN67:AN98" si="15">ABS(AJ67-AM67)</f>
        <v>7.6109999999999997E-3</v>
      </c>
      <c r="AO67">
        <f t="shared" ref="AO67:AO102" si="16">AO66+AM67-AH67</f>
        <v>0.15000000000000244</v>
      </c>
      <c r="AP67">
        <f t="shared" ref="AP67:AP102" si="17">AP66+AJ67-AH67</f>
        <v>0.13197100000000112</v>
      </c>
      <c r="AQ67">
        <f>SBC!I66</f>
        <v>0</v>
      </c>
      <c r="AR67">
        <f t="shared" si="12"/>
        <v>2.5278605494756301E-2</v>
      </c>
    </row>
    <row r="68" spans="1:44" x14ac:dyDescent="0.3">
      <c r="A68">
        <v>66</v>
      </c>
      <c r="B68">
        <v>65</v>
      </c>
      <c r="C68">
        <v>66</v>
      </c>
      <c r="D68">
        <v>1</v>
      </c>
      <c r="E68">
        <v>2147483647</v>
      </c>
      <c r="F68">
        <v>0</v>
      </c>
      <c r="G68">
        <v>1</v>
      </c>
      <c r="H68">
        <v>0</v>
      </c>
      <c r="I68">
        <v>0</v>
      </c>
      <c r="J68">
        <v>0</v>
      </c>
      <c r="K68">
        <v>0</v>
      </c>
      <c r="L68">
        <v>1.2910300114852899E-2</v>
      </c>
      <c r="M68" s="2">
        <v>6.5278593271614197E-4</v>
      </c>
      <c r="N68">
        <v>1.86323791611217E-2</v>
      </c>
      <c r="O68" s="2">
        <v>7.9478249737335101E-4</v>
      </c>
      <c r="P68">
        <v>5.7220790462688296E-3</v>
      </c>
      <c r="Q68" s="2">
        <v>1.8937947019449401E-4</v>
      </c>
      <c r="R68">
        <v>1.0999999999999999E-2</v>
      </c>
      <c r="S68" s="2">
        <v>6.0335468159966404E-4</v>
      </c>
      <c r="T68">
        <v>1.5918999999999999E-2</v>
      </c>
      <c r="U68" s="2">
        <v>7.3604558044350604E-4</v>
      </c>
      <c r="V68">
        <v>4.9189999999999998E-3</v>
      </c>
      <c r="W68" s="2">
        <v>1.8021241549928801E-4</v>
      </c>
      <c r="X68">
        <v>0</v>
      </c>
      <c r="Y68">
        <v>-1</v>
      </c>
      <c r="Z68">
        <v>-1</v>
      </c>
      <c r="AA68">
        <v>4.0730000000000002E-3</v>
      </c>
      <c r="AB68">
        <v>22.1147964503451</v>
      </c>
      <c r="AC68">
        <v>23.109757713995499</v>
      </c>
      <c r="AD68">
        <v>5.764E-3</v>
      </c>
      <c r="AE68">
        <v>20.805377656295001</v>
      </c>
      <c r="AF68">
        <v>22.2018005412612</v>
      </c>
      <c r="AH68" s="7">
        <f>SBC!D67</f>
        <v>0</v>
      </c>
      <c r="AI68" s="7">
        <f t="shared" ref="AI68:AI102" si="18">AI67+AH68</f>
        <v>33.999999999999986</v>
      </c>
      <c r="AJ68" s="7">
        <f t="shared" si="13"/>
        <v>5.764E-3</v>
      </c>
      <c r="AK68" s="7">
        <f t="shared" ref="AK68:AK102" si="19">AK67+AJ68</f>
        <v>34.137735000000006</v>
      </c>
      <c r="AL68" s="7">
        <f t="shared" si="14"/>
        <v>0.13773500000002059</v>
      </c>
      <c r="AM68">
        <f>SBC!K67</f>
        <v>0</v>
      </c>
      <c r="AN68">
        <f t="shared" si="15"/>
        <v>5.764E-3</v>
      </c>
      <c r="AO68">
        <f t="shared" si="16"/>
        <v>0.15000000000000244</v>
      </c>
      <c r="AP68">
        <f t="shared" si="17"/>
        <v>0.13773500000000111</v>
      </c>
      <c r="AQ68">
        <f>SBC!I67</f>
        <v>0</v>
      </c>
      <c r="AR68">
        <f t="shared" si="12"/>
        <v>1.86323791611217E-2</v>
      </c>
    </row>
    <row r="69" spans="1:44" x14ac:dyDescent="0.3">
      <c r="A69">
        <v>67</v>
      </c>
      <c r="B69">
        <v>66</v>
      </c>
      <c r="C69">
        <v>67</v>
      </c>
      <c r="D69">
        <v>1</v>
      </c>
      <c r="E69">
        <v>2147483647</v>
      </c>
      <c r="F69">
        <v>0</v>
      </c>
      <c r="G69">
        <v>1</v>
      </c>
      <c r="H69">
        <v>0</v>
      </c>
      <c r="I69">
        <v>0</v>
      </c>
      <c r="J69">
        <v>0</v>
      </c>
      <c r="K69">
        <v>0</v>
      </c>
      <c r="L69">
        <v>9.4117181585975495E-3</v>
      </c>
      <c r="M69" s="2">
        <v>5.5139224858398895E-4</v>
      </c>
      <c r="N69">
        <v>1.36863937937857E-2</v>
      </c>
      <c r="O69" s="2">
        <v>6.7442578941782395E-4</v>
      </c>
      <c r="P69">
        <v>4.2746756351881698E-3</v>
      </c>
      <c r="Q69" s="2">
        <v>1.6392324726706201E-4</v>
      </c>
      <c r="R69">
        <v>7.9780000000000007E-3</v>
      </c>
      <c r="S69" s="2">
        <v>5.0897469010019198E-4</v>
      </c>
      <c r="T69">
        <v>1.1671000000000001E-2</v>
      </c>
      <c r="U69" s="2">
        <v>6.2365284049010496E-4</v>
      </c>
      <c r="V69">
        <v>3.6930000000000001E-3</v>
      </c>
      <c r="W69" s="2">
        <v>1.5624399116650001E-4</v>
      </c>
      <c r="X69">
        <v>0</v>
      </c>
      <c r="Y69">
        <v>-1</v>
      </c>
      <c r="Z69">
        <v>-1</v>
      </c>
      <c r="AA69">
        <v>3.0219999999999999E-3</v>
      </c>
      <c r="AB69">
        <v>23.063729685017499</v>
      </c>
      <c r="AC69">
        <v>24.095443506289499</v>
      </c>
      <c r="AD69">
        <v>4.248E-3</v>
      </c>
      <c r="AE69">
        <v>21.761977619231001</v>
      </c>
      <c r="AF69">
        <v>23.171175572603499</v>
      </c>
      <c r="AH69" s="7">
        <f>SBC!D68</f>
        <v>0</v>
      </c>
      <c r="AI69" s="7">
        <f t="shared" si="18"/>
        <v>33.999999999999986</v>
      </c>
      <c r="AJ69" s="7">
        <f t="shared" si="13"/>
        <v>4.248E-3</v>
      </c>
      <c r="AK69" s="7">
        <f t="shared" si="19"/>
        <v>34.141983000000003</v>
      </c>
      <c r="AL69" s="7">
        <f t="shared" si="14"/>
        <v>0.14198300000001751</v>
      </c>
      <c r="AM69">
        <f>SBC!K68</f>
        <v>0</v>
      </c>
      <c r="AN69">
        <f t="shared" si="15"/>
        <v>4.248E-3</v>
      </c>
      <c r="AO69">
        <f t="shared" si="16"/>
        <v>0.15000000000000244</v>
      </c>
      <c r="AP69">
        <f t="shared" si="17"/>
        <v>0.14198300000000111</v>
      </c>
      <c r="AQ69">
        <f>SBC!I68</f>
        <v>0</v>
      </c>
      <c r="AR69">
        <f t="shared" si="12"/>
        <v>1.36863937937857E-2</v>
      </c>
    </row>
    <row r="70" spans="1:44" x14ac:dyDescent="0.3">
      <c r="A70">
        <v>68</v>
      </c>
      <c r="B70">
        <v>67</v>
      </c>
      <c r="C70">
        <v>68</v>
      </c>
      <c r="D70">
        <v>1</v>
      </c>
      <c r="E70">
        <v>2147483647</v>
      </c>
      <c r="F70">
        <v>0</v>
      </c>
      <c r="G70">
        <v>1</v>
      </c>
      <c r="H70">
        <v>0</v>
      </c>
      <c r="I70">
        <v>0</v>
      </c>
      <c r="J70">
        <v>0</v>
      </c>
      <c r="K70">
        <v>0</v>
      </c>
      <c r="L70">
        <v>6.8703946665116204E-3</v>
      </c>
      <c r="M70" s="2">
        <v>4.65928253018309E-4</v>
      </c>
      <c r="N70">
        <v>1.0073354906880799E-2</v>
      </c>
      <c r="O70" s="2">
        <v>5.7246714881791698E-4</v>
      </c>
      <c r="P70">
        <v>3.2029602403692301E-3</v>
      </c>
      <c r="Q70" s="2">
        <v>1.4185347810719701E-4</v>
      </c>
      <c r="R70">
        <v>5.8009999999999997E-3</v>
      </c>
      <c r="S70" s="2">
        <v>4.2939428645141499E-4</v>
      </c>
      <c r="T70">
        <v>8.541E-3</v>
      </c>
      <c r="U70" s="2">
        <v>5.2846608994943495E-4</v>
      </c>
      <c r="V70">
        <v>2.7399999999999998E-3</v>
      </c>
      <c r="W70" s="2">
        <v>1.3464696259877601E-4</v>
      </c>
      <c r="X70">
        <v>0</v>
      </c>
      <c r="Y70">
        <v>-1</v>
      </c>
      <c r="Z70">
        <v>-1</v>
      </c>
      <c r="AA70">
        <v>2.1770000000000001E-3</v>
      </c>
      <c r="AB70">
        <v>23.966643780307798</v>
      </c>
      <c r="AC70">
        <v>24.959430789001601</v>
      </c>
      <c r="AD70">
        <v>3.13E-3</v>
      </c>
      <c r="AE70">
        <v>22.611828629979001</v>
      </c>
      <c r="AF70">
        <v>24.035402769409501</v>
      </c>
      <c r="AH70" s="7">
        <f>SBC!D69</f>
        <v>0</v>
      </c>
      <c r="AI70" s="7">
        <f t="shared" si="18"/>
        <v>33.999999999999986</v>
      </c>
      <c r="AJ70" s="7">
        <f t="shared" si="13"/>
        <v>3.13E-3</v>
      </c>
      <c r="AK70" s="7">
        <f t="shared" si="19"/>
        <v>34.145113000000002</v>
      </c>
      <c r="AL70" s="7">
        <f t="shared" si="14"/>
        <v>0.14511300000001626</v>
      </c>
      <c r="AM70">
        <f>SBC!K69</f>
        <v>0</v>
      </c>
      <c r="AN70">
        <f t="shared" si="15"/>
        <v>3.13E-3</v>
      </c>
      <c r="AO70">
        <f t="shared" si="16"/>
        <v>0.15000000000000244</v>
      </c>
      <c r="AP70">
        <f t="shared" si="17"/>
        <v>0.1451130000000011</v>
      </c>
      <c r="AQ70">
        <f>SBC!I69</f>
        <v>0</v>
      </c>
      <c r="AR70">
        <f t="shared" si="12"/>
        <v>1.0073354906880799E-2</v>
      </c>
    </row>
    <row r="71" spans="1:44" x14ac:dyDescent="0.3">
      <c r="A71">
        <v>69</v>
      </c>
      <c r="B71">
        <v>68</v>
      </c>
      <c r="C71">
        <v>69</v>
      </c>
      <c r="D71">
        <v>1</v>
      </c>
      <c r="E71">
        <v>2147483647</v>
      </c>
      <c r="F71">
        <v>0</v>
      </c>
      <c r="G71">
        <v>1</v>
      </c>
      <c r="H71">
        <v>0</v>
      </c>
      <c r="I71">
        <v>0</v>
      </c>
      <c r="J71">
        <v>0</v>
      </c>
      <c r="K71">
        <v>0</v>
      </c>
      <c r="L71">
        <v>4.9286417835889803E-3</v>
      </c>
      <c r="M71" s="2">
        <v>3.9130664592085799E-4</v>
      </c>
      <c r="N71">
        <v>7.2875789350618798E-3</v>
      </c>
      <c r="O71" s="2">
        <v>4.8264027372188701E-4</v>
      </c>
      <c r="P71">
        <v>2.3589371514729099E-3</v>
      </c>
      <c r="Q71" s="2">
        <v>1.21762883245692E-4</v>
      </c>
      <c r="R71">
        <v>4.117E-3</v>
      </c>
      <c r="S71" s="2">
        <v>3.59713896480799E-4</v>
      </c>
      <c r="T71">
        <v>6.1469999999999997E-3</v>
      </c>
      <c r="U71" s="2">
        <v>4.4424815346773598E-4</v>
      </c>
      <c r="V71" s="2">
        <v>2.0300000000000001E-3</v>
      </c>
      <c r="W71" s="2">
        <v>1.15937476057873E-4</v>
      </c>
      <c r="X71">
        <v>0</v>
      </c>
      <c r="Y71">
        <v>-1</v>
      </c>
      <c r="Z71">
        <v>-1</v>
      </c>
      <c r="AA71" s="2">
        <v>1.684E-3</v>
      </c>
      <c r="AB71">
        <v>24.890188020788301</v>
      </c>
      <c r="AC71">
        <v>25.889960235530801</v>
      </c>
      <c r="AD71">
        <v>2.3939999999999999E-3</v>
      </c>
      <c r="AE71">
        <v>23.5260190761798</v>
      </c>
      <c r="AF71">
        <v>25.001894059190398</v>
      </c>
      <c r="AH71" s="7">
        <f>SBC!D70</f>
        <v>0</v>
      </c>
      <c r="AI71" s="7">
        <f t="shared" si="18"/>
        <v>33.999999999999986</v>
      </c>
      <c r="AJ71" s="7">
        <f t="shared" si="13"/>
        <v>2.3939999999999999E-3</v>
      </c>
      <c r="AK71" s="7">
        <f t="shared" si="19"/>
        <v>34.147507000000004</v>
      </c>
      <c r="AL71" s="7">
        <f t="shared" si="14"/>
        <v>0.14750700000001871</v>
      </c>
      <c r="AM71">
        <f>SBC!K70</f>
        <v>0</v>
      </c>
      <c r="AN71">
        <f t="shared" si="15"/>
        <v>2.3939999999999999E-3</v>
      </c>
      <c r="AO71">
        <f t="shared" si="16"/>
        <v>0.15000000000000244</v>
      </c>
      <c r="AP71">
        <f t="shared" si="17"/>
        <v>0.14750700000000111</v>
      </c>
      <c r="AQ71">
        <f>SBC!I70</f>
        <v>0</v>
      </c>
      <c r="AR71">
        <f t="shared" si="12"/>
        <v>7.2875789350618798E-3</v>
      </c>
    </row>
    <row r="72" spans="1:44" x14ac:dyDescent="0.3">
      <c r="A72">
        <v>70</v>
      </c>
      <c r="B72">
        <v>69</v>
      </c>
      <c r="C72">
        <v>70</v>
      </c>
      <c r="D72">
        <v>1</v>
      </c>
      <c r="E72">
        <v>2147483647</v>
      </c>
      <c r="F72">
        <v>0</v>
      </c>
      <c r="G72">
        <v>1</v>
      </c>
      <c r="H72">
        <v>0</v>
      </c>
      <c r="I72">
        <v>0</v>
      </c>
      <c r="J72">
        <v>0</v>
      </c>
      <c r="K72">
        <v>0</v>
      </c>
      <c r="L72">
        <v>3.46884083212651E-3</v>
      </c>
      <c r="M72" s="2">
        <v>3.25029933817545E-4</v>
      </c>
      <c r="N72">
        <v>5.2158633411472097E-3</v>
      </c>
      <c r="O72" s="2">
        <v>4.0295246691683098E-4</v>
      </c>
      <c r="P72" s="2">
        <v>1.74702250902068E-3</v>
      </c>
      <c r="Q72" s="2">
        <v>1.0476857769623601E-4</v>
      </c>
      <c r="R72">
        <v>2.8990000000000001E-3</v>
      </c>
      <c r="S72" s="2">
        <v>2.9711044654260498E-4</v>
      </c>
      <c r="T72">
        <v>4.3829999999999997E-3</v>
      </c>
      <c r="U72" s="2">
        <v>3.6948374059338901E-4</v>
      </c>
      <c r="V72" s="2">
        <v>1.4840000000000001E-3</v>
      </c>
      <c r="W72" s="2">
        <v>9.9154298016104802E-5</v>
      </c>
      <c r="X72">
        <v>0</v>
      </c>
      <c r="Y72">
        <v>-1</v>
      </c>
      <c r="Z72">
        <v>-1</v>
      </c>
      <c r="AA72" s="2">
        <v>1.2179999999999999E-3</v>
      </c>
      <c r="AB72">
        <v>25.964941315064099</v>
      </c>
      <c r="AC72">
        <v>26.9634446179852</v>
      </c>
      <c r="AD72" s="2">
        <v>1.7639999999999999E-3</v>
      </c>
      <c r="AE72">
        <v>24.654601685136001</v>
      </c>
      <c r="AF72">
        <v>26.0340714547816</v>
      </c>
      <c r="AH72" s="7">
        <f>SBC!D71</f>
        <v>0</v>
      </c>
      <c r="AI72" s="7">
        <f t="shared" si="18"/>
        <v>33.999999999999986</v>
      </c>
      <c r="AJ72" s="7">
        <f t="shared" si="13"/>
        <v>1.7639999999999999E-3</v>
      </c>
      <c r="AK72" s="7">
        <f t="shared" si="19"/>
        <v>34.149271000000006</v>
      </c>
      <c r="AL72" s="7">
        <f t="shared" si="14"/>
        <v>0.14927100000002014</v>
      </c>
      <c r="AM72">
        <f>SBC!K71</f>
        <v>0</v>
      </c>
      <c r="AN72">
        <f t="shared" si="15"/>
        <v>1.7639999999999999E-3</v>
      </c>
      <c r="AO72">
        <f t="shared" si="16"/>
        <v>0.15000000000000244</v>
      </c>
      <c r="AP72">
        <f t="shared" si="17"/>
        <v>0.1492710000000011</v>
      </c>
      <c r="AQ72">
        <f>SBC!I71</f>
        <v>0</v>
      </c>
      <c r="AR72">
        <f t="shared" si="12"/>
        <v>5.2158633411472097E-3</v>
      </c>
    </row>
    <row r="73" spans="1:44" x14ac:dyDescent="0.3">
      <c r="A73">
        <v>71</v>
      </c>
      <c r="B73">
        <v>70</v>
      </c>
      <c r="C73">
        <v>71</v>
      </c>
      <c r="D73">
        <v>1</v>
      </c>
      <c r="E73">
        <v>2147483647</v>
      </c>
      <c r="F73">
        <v>0</v>
      </c>
      <c r="G73">
        <v>1</v>
      </c>
      <c r="H73">
        <v>0</v>
      </c>
      <c r="I73">
        <v>0</v>
      </c>
      <c r="J73">
        <v>0</v>
      </c>
      <c r="K73">
        <v>0</v>
      </c>
      <c r="L73" s="2">
        <v>2.4566279589024798E-3</v>
      </c>
      <c r="M73" s="2">
        <v>2.69740405893963E-4</v>
      </c>
      <c r="N73">
        <v>3.7220691315205299E-3</v>
      </c>
      <c r="O73" s="2">
        <v>3.3630486886176698E-4</v>
      </c>
      <c r="P73" s="2">
        <v>1.26544117261805E-3</v>
      </c>
      <c r="Q73" s="2">
        <v>8.9065781883479499E-5</v>
      </c>
      <c r="R73" s="2">
        <v>2.0590000000000001E-3</v>
      </c>
      <c r="S73" s="2">
        <v>2.4769194564613998E-4</v>
      </c>
      <c r="T73">
        <v>3.13E-3</v>
      </c>
      <c r="U73" s="2">
        <v>3.0942350508685599E-4</v>
      </c>
      <c r="V73" s="2">
        <v>1.0709999999999999E-3</v>
      </c>
      <c r="W73" s="2">
        <v>8.4251787881691899E-5</v>
      </c>
      <c r="X73">
        <v>0</v>
      </c>
      <c r="Y73">
        <v>-1</v>
      </c>
      <c r="Z73">
        <v>-1</v>
      </c>
      <c r="AA73" s="2">
        <v>8.4000000000000003E-4</v>
      </c>
      <c r="AB73">
        <v>26.863255966829399</v>
      </c>
      <c r="AC73">
        <v>27.897603475747498</v>
      </c>
      <c r="AD73" s="2">
        <v>1.253E-3</v>
      </c>
      <c r="AE73">
        <v>25.481775929100401</v>
      </c>
      <c r="AF73">
        <v>26.906210154669999</v>
      </c>
      <c r="AH73" s="7">
        <f>SBC!D72</f>
        <v>0</v>
      </c>
      <c r="AI73" s="7">
        <f t="shared" si="18"/>
        <v>33.999999999999986</v>
      </c>
      <c r="AJ73" s="7">
        <f t="shared" si="13"/>
        <v>1.253E-3</v>
      </c>
      <c r="AK73" s="7">
        <f t="shared" si="19"/>
        <v>34.150524000000004</v>
      </c>
      <c r="AL73" s="7">
        <f t="shared" si="14"/>
        <v>0.15052400000001853</v>
      </c>
      <c r="AM73">
        <f>SBC!K72</f>
        <v>0</v>
      </c>
      <c r="AN73">
        <f t="shared" si="15"/>
        <v>1.253E-3</v>
      </c>
      <c r="AO73">
        <f t="shared" si="16"/>
        <v>0.15000000000000244</v>
      </c>
      <c r="AP73">
        <f t="shared" si="17"/>
        <v>0.1505240000000011</v>
      </c>
      <c r="AQ73">
        <f>SBC!I72</f>
        <v>0</v>
      </c>
      <c r="AR73">
        <f t="shared" si="12"/>
        <v>3.7220691315205299E-3</v>
      </c>
    </row>
    <row r="74" spans="1:44" x14ac:dyDescent="0.3">
      <c r="A74">
        <v>72</v>
      </c>
      <c r="B74">
        <v>71</v>
      </c>
      <c r="C74">
        <v>72</v>
      </c>
      <c r="D74">
        <v>1</v>
      </c>
      <c r="E74">
        <v>2147483647</v>
      </c>
      <c r="F74">
        <v>0</v>
      </c>
      <c r="G74">
        <v>1</v>
      </c>
      <c r="H74">
        <v>0</v>
      </c>
      <c r="I74">
        <v>0</v>
      </c>
      <c r="J74">
        <v>0</v>
      </c>
      <c r="K74">
        <v>0</v>
      </c>
      <c r="L74" s="2">
        <v>1.7561127088615599E-3</v>
      </c>
      <c r="M74" s="2">
        <v>2.27106856216811E-4</v>
      </c>
      <c r="N74">
        <v>2.6610372906505802E-3</v>
      </c>
      <c r="O74" s="2">
        <v>2.8353843458300799E-4</v>
      </c>
      <c r="P74" s="2">
        <v>9.0492458178901896E-4</v>
      </c>
      <c r="Q74" s="2">
        <v>7.5244338240369198E-5</v>
      </c>
      <c r="R74" s="2">
        <v>1.462E-3</v>
      </c>
      <c r="S74" s="2">
        <v>2.1030289778241001E-4</v>
      </c>
      <c r="T74" s="2">
        <v>2.2269999999999998E-3</v>
      </c>
      <c r="U74" s="2">
        <v>2.6207769484386099E-4</v>
      </c>
      <c r="V74" s="2">
        <v>7.6499999999999995E-4</v>
      </c>
      <c r="W74" s="2">
        <v>7.1216662322927694E-5</v>
      </c>
      <c r="X74">
        <v>0</v>
      </c>
      <c r="Y74">
        <v>-1</v>
      </c>
      <c r="Z74">
        <v>-1</v>
      </c>
      <c r="AA74" s="2">
        <v>5.9699999999999998E-4</v>
      </c>
      <c r="AB74">
        <v>27.7052201901428</v>
      </c>
      <c r="AC74">
        <v>28.6214809679905</v>
      </c>
      <c r="AD74" s="2">
        <v>9.0300000000000005E-4</v>
      </c>
      <c r="AE74">
        <v>26.235415064943901</v>
      </c>
      <c r="AF74">
        <v>27.719092215209301</v>
      </c>
      <c r="AH74" s="7">
        <f>SBC!D73</f>
        <v>0</v>
      </c>
      <c r="AI74" s="7">
        <f t="shared" si="18"/>
        <v>33.999999999999986</v>
      </c>
      <c r="AJ74" s="7">
        <f t="shared" si="13"/>
        <v>9.0300000000000005E-4</v>
      </c>
      <c r="AK74" s="7">
        <f t="shared" si="19"/>
        <v>34.151427000000005</v>
      </c>
      <c r="AL74" s="7">
        <f t="shared" si="14"/>
        <v>0.15142700000001952</v>
      </c>
      <c r="AM74">
        <f>SBC!K73</f>
        <v>0</v>
      </c>
      <c r="AN74">
        <f t="shared" si="15"/>
        <v>9.0300000000000005E-4</v>
      </c>
      <c r="AO74">
        <f t="shared" si="16"/>
        <v>0.15000000000000244</v>
      </c>
      <c r="AP74">
        <f t="shared" si="17"/>
        <v>0.15142700000000109</v>
      </c>
      <c r="AQ74">
        <f>SBC!I73</f>
        <v>0</v>
      </c>
      <c r="AR74">
        <f t="shared" si="12"/>
        <v>2.6610372906505802E-3</v>
      </c>
    </row>
    <row r="75" spans="1:44" x14ac:dyDescent="0.3">
      <c r="A75">
        <v>73</v>
      </c>
      <c r="B75">
        <v>72</v>
      </c>
      <c r="C75">
        <v>73</v>
      </c>
      <c r="D75">
        <v>1</v>
      </c>
      <c r="E75">
        <v>2147483647</v>
      </c>
      <c r="F75">
        <v>0</v>
      </c>
      <c r="G75">
        <v>1</v>
      </c>
      <c r="H75">
        <v>0</v>
      </c>
      <c r="I75">
        <v>0</v>
      </c>
      <c r="J75">
        <v>0</v>
      </c>
      <c r="K75">
        <v>0</v>
      </c>
      <c r="L75" s="2">
        <v>1.2253370382156899E-3</v>
      </c>
      <c r="M75" s="2">
        <v>1.92145614109058E-4</v>
      </c>
      <c r="N75" s="2">
        <v>1.86503176445715E-3</v>
      </c>
      <c r="O75" s="2">
        <v>2.38925553198595E-4</v>
      </c>
      <c r="P75" s="2">
        <v>6.3969472624145305E-4</v>
      </c>
      <c r="Q75" s="2">
        <v>6.3193860559644096E-5</v>
      </c>
      <c r="R75" s="2">
        <v>1.039E-3</v>
      </c>
      <c r="S75" s="2">
        <v>1.78902804868212E-4</v>
      </c>
      <c r="T75" s="2">
        <v>1.5759999999999999E-3</v>
      </c>
      <c r="U75" s="2">
        <v>2.2214218670630199E-4</v>
      </c>
      <c r="V75" s="2">
        <v>5.3700000000000004E-4</v>
      </c>
      <c r="W75" s="2">
        <v>5.9674334317614802E-5</v>
      </c>
      <c r="X75">
        <v>0</v>
      </c>
      <c r="Y75">
        <v>-1</v>
      </c>
      <c r="Z75">
        <v>-1</v>
      </c>
      <c r="AA75" s="2">
        <v>4.2299999999999998E-4</v>
      </c>
      <c r="AB75">
        <v>28.542415851974098</v>
      </c>
      <c r="AC75">
        <v>29.484669990703399</v>
      </c>
      <c r="AD75" s="2">
        <v>6.5099999999999999E-4</v>
      </c>
      <c r="AE75">
        <v>27.228095961542401</v>
      </c>
      <c r="AF75">
        <v>28.634442077161001</v>
      </c>
      <c r="AH75" s="7">
        <f>SBC!D74</f>
        <v>0</v>
      </c>
      <c r="AI75" s="7">
        <f t="shared" si="18"/>
        <v>33.999999999999986</v>
      </c>
      <c r="AJ75" s="7">
        <f t="shared" si="13"/>
        <v>6.5099999999999999E-4</v>
      </c>
      <c r="AK75" s="7">
        <f t="shared" si="19"/>
        <v>34.152078000000003</v>
      </c>
      <c r="AL75" s="7">
        <f t="shared" si="14"/>
        <v>0.15207800000001725</v>
      </c>
      <c r="AM75">
        <f>SBC!K74</f>
        <v>0</v>
      </c>
      <c r="AN75">
        <f t="shared" si="15"/>
        <v>6.5099999999999999E-4</v>
      </c>
      <c r="AO75">
        <f t="shared" si="16"/>
        <v>0.15000000000000244</v>
      </c>
      <c r="AP75">
        <f t="shared" si="17"/>
        <v>0.1520780000000011</v>
      </c>
      <c r="AQ75">
        <f>SBC!I74</f>
        <v>0</v>
      </c>
      <c r="AR75">
        <f t="shared" si="12"/>
        <v>1.86503176445715E-3</v>
      </c>
    </row>
    <row r="76" spans="1:44" x14ac:dyDescent="0.3">
      <c r="A76">
        <v>74</v>
      </c>
      <c r="B76">
        <v>73</v>
      </c>
      <c r="C76">
        <v>74</v>
      </c>
      <c r="D76">
        <v>1</v>
      </c>
      <c r="E76">
        <v>2147483647</v>
      </c>
      <c r="F76">
        <v>0</v>
      </c>
      <c r="G76">
        <v>1</v>
      </c>
      <c r="H76">
        <v>0</v>
      </c>
      <c r="I76">
        <v>0</v>
      </c>
      <c r="J76">
        <v>0</v>
      </c>
      <c r="K76">
        <v>0</v>
      </c>
      <c r="L76" s="2">
        <v>8.6591146033215003E-4</v>
      </c>
      <c r="M76" s="2">
        <v>1.62228316641139E-4</v>
      </c>
      <c r="N76" s="2">
        <v>1.3110151377598799E-3</v>
      </c>
      <c r="O76" s="2">
        <v>2.0128421638811601E-4</v>
      </c>
      <c r="P76" s="2">
        <v>4.4510367742773302E-4</v>
      </c>
      <c r="Q76" s="2">
        <v>5.2674629767343801E-5</v>
      </c>
      <c r="R76" s="2">
        <v>7.1299999999999998E-4</v>
      </c>
      <c r="S76" s="2">
        <v>1.48294670358159E-4</v>
      </c>
      <c r="T76" s="2">
        <v>1.091E-3</v>
      </c>
      <c r="U76" s="2">
        <v>1.8427191405438401E-4</v>
      </c>
      <c r="V76" s="2">
        <v>3.7800000000000003E-4</v>
      </c>
      <c r="W76" s="2">
        <v>5.0070379413582299E-5</v>
      </c>
      <c r="X76">
        <v>0</v>
      </c>
      <c r="Y76">
        <v>-1</v>
      </c>
      <c r="Z76">
        <v>-1</v>
      </c>
      <c r="AA76" s="2">
        <v>3.2600000000000001E-4</v>
      </c>
      <c r="AB76">
        <v>29.6505404905466</v>
      </c>
      <c r="AC76">
        <v>30.604513232067301</v>
      </c>
      <c r="AD76" s="2">
        <v>4.8500000000000003E-4</v>
      </c>
      <c r="AE76">
        <v>28.314747314814099</v>
      </c>
      <c r="AF76">
        <v>29.798036959825701</v>
      </c>
      <c r="AH76" s="7">
        <f>SBC!D75</f>
        <v>0</v>
      </c>
      <c r="AI76" s="7">
        <f t="shared" si="18"/>
        <v>33.999999999999986</v>
      </c>
      <c r="AJ76" s="7">
        <f t="shared" si="13"/>
        <v>4.8500000000000003E-4</v>
      </c>
      <c r="AK76" s="7">
        <f t="shared" si="19"/>
        <v>34.152563000000001</v>
      </c>
      <c r="AL76" s="7">
        <f t="shared" si="14"/>
        <v>0.15256300000001488</v>
      </c>
      <c r="AM76">
        <f>SBC!K75</f>
        <v>0</v>
      </c>
      <c r="AN76">
        <f t="shared" si="15"/>
        <v>4.8500000000000003E-4</v>
      </c>
      <c r="AO76">
        <f t="shared" si="16"/>
        <v>0.15000000000000244</v>
      </c>
      <c r="AP76">
        <f t="shared" si="17"/>
        <v>0.15256300000000111</v>
      </c>
      <c r="AQ76">
        <f>SBC!I75</f>
        <v>0</v>
      </c>
      <c r="AR76">
        <f t="shared" si="12"/>
        <v>1.3110151377598799E-3</v>
      </c>
    </row>
    <row r="77" spans="1:44" x14ac:dyDescent="0.3">
      <c r="A77">
        <v>75</v>
      </c>
      <c r="B77">
        <v>74</v>
      </c>
      <c r="C77">
        <v>75</v>
      </c>
      <c r="D77">
        <v>1</v>
      </c>
      <c r="E77">
        <v>2147483647</v>
      </c>
      <c r="F77">
        <v>0</v>
      </c>
      <c r="G77">
        <v>1</v>
      </c>
      <c r="H77">
        <v>0</v>
      </c>
      <c r="I77">
        <v>0</v>
      </c>
      <c r="J77">
        <v>0</v>
      </c>
      <c r="K77">
        <v>0</v>
      </c>
      <c r="L77" s="2">
        <v>5.9642896509954301E-4</v>
      </c>
      <c r="M77" s="2">
        <v>1.3410701289496901E-4</v>
      </c>
      <c r="N77" s="2">
        <v>9.1421689035701297E-4</v>
      </c>
      <c r="O77" s="2">
        <v>1.6680725909540799E-4</v>
      </c>
      <c r="P77" s="2">
        <v>3.1778792525746899E-4</v>
      </c>
      <c r="Q77" s="2">
        <v>4.4451904399879902E-5</v>
      </c>
      <c r="R77" s="2">
        <v>4.9600000000000002E-4</v>
      </c>
      <c r="S77" s="2">
        <v>1.22501035998834E-4</v>
      </c>
      <c r="T77" s="2">
        <v>7.6000000000000004E-4</v>
      </c>
      <c r="U77" s="2">
        <v>1.52766926807198E-4</v>
      </c>
      <c r="V77" s="2">
        <v>2.6400000000000002E-4</v>
      </c>
      <c r="W77" s="2">
        <v>4.1846747507017797E-5</v>
      </c>
      <c r="X77">
        <v>0</v>
      </c>
      <c r="Y77">
        <v>-1</v>
      </c>
      <c r="Z77">
        <v>-1</v>
      </c>
      <c r="AA77" s="2">
        <v>2.1699999999999999E-4</v>
      </c>
      <c r="AB77">
        <v>30.735370543492799</v>
      </c>
      <c r="AC77">
        <v>31.6068167057831</v>
      </c>
      <c r="AD77" s="2">
        <v>3.3100000000000002E-4</v>
      </c>
      <c r="AE77">
        <v>29.148890029229701</v>
      </c>
      <c r="AF77">
        <v>30.678915599411201</v>
      </c>
      <c r="AH77" s="7">
        <f>SBC!D76</f>
        <v>0</v>
      </c>
      <c r="AI77" s="7">
        <f t="shared" si="18"/>
        <v>33.999999999999986</v>
      </c>
      <c r="AJ77" s="7">
        <f t="shared" si="13"/>
        <v>3.3100000000000002E-4</v>
      </c>
      <c r="AK77" s="7">
        <f t="shared" si="19"/>
        <v>34.152894000000003</v>
      </c>
      <c r="AL77" s="7">
        <f t="shared" si="14"/>
        <v>0.15289400000001763</v>
      </c>
      <c r="AM77">
        <f>SBC!K76</f>
        <v>0</v>
      </c>
      <c r="AN77">
        <f t="shared" si="15"/>
        <v>3.3100000000000002E-4</v>
      </c>
      <c r="AO77">
        <f t="shared" si="16"/>
        <v>0.15000000000000244</v>
      </c>
      <c r="AP77">
        <f t="shared" si="17"/>
        <v>0.15289400000000111</v>
      </c>
      <c r="AQ77">
        <f>SBC!I76</f>
        <v>0</v>
      </c>
      <c r="AR77">
        <f t="shared" si="12"/>
        <v>9.1421689035701297E-4</v>
      </c>
    </row>
    <row r="78" spans="1:44" x14ac:dyDescent="0.3">
      <c r="A78">
        <v>76</v>
      </c>
      <c r="B78">
        <v>75</v>
      </c>
      <c r="C78">
        <v>76</v>
      </c>
      <c r="D78">
        <v>1</v>
      </c>
      <c r="E78">
        <v>2147483647</v>
      </c>
      <c r="F78">
        <v>0</v>
      </c>
      <c r="G78">
        <v>1</v>
      </c>
      <c r="H78">
        <v>0</v>
      </c>
      <c r="I78">
        <v>0</v>
      </c>
      <c r="J78">
        <v>0</v>
      </c>
      <c r="K78">
        <v>0</v>
      </c>
      <c r="L78" s="2">
        <v>4.0743378032776601E-4</v>
      </c>
      <c r="M78" s="2">
        <v>1.10493602626664E-4</v>
      </c>
      <c r="N78" s="2">
        <v>6.2325672637473595E-4</v>
      </c>
      <c r="O78" s="2">
        <v>1.37477685536307E-4</v>
      </c>
      <c r="P78" s="2">
        <v>2.1582294604696999E-4</v>
      </c>
      <c r="Q78" s="2">
        <v>3.6426876246421803E-5</v>
      </c>
      <c r="R78" s="2">
        <v>3.3199999999999999E-4</v>
      </c>
      <c r="S78" s="2">
        <v>1.01668272236465E-4</v>
      </c>
      <c r="T78" s="2">
        <v>5.0100000000000003E-4</v>
      </c>
      <c r="U78" s="2">
        <v>1.2594591064167199E-4</v>
      </c>
      <c r="V78" s="2">
        <v>1.6899999999999999E-4</v>
      </c>
      <c r="W78" s="2">
        <v>3.3482951278087202E-5</v>
      </c>
      <c r="X78">
        <v>0</v>
      </c>
      <c r="Y78">
        <v>-1</v>
      </c>
      <c r="Z78">
        <v>-1</v>
      </c>
      <c r="AA78" s="2">
        <v>1.64E-4</v>
      </c>
      <c r="AB78">
        <v>31.669274179911199</v>
      </c>
      <c r="AC78">
        <v>32.529061965764299</v>
      </c>
      <c r="AD78" s="2">
        <v>2.5900000000000001E-4</v>
      </c>
      <c r="AE78">
        <v>30.3565950946047</v>
      </c>
      <c r="AF78">
        <v>31.7590504353178</v>
      </c>
      <c r="AH78" s="7">
        <f>SBC!D77</f>
        <v>0</v>
      </c>
      <c r="AI78" s="7">
        <f t="shared" si="18"/>
        <v>33.999999999999986</v>
      </c>
      <c r="AJ78" s="7">
        <f t="shared" si="13"/>
        <v>2.5900000000000001E-4</v>
      </c>
      <c r="AK78" s="7">
        <f t="shared" si="19"/>
        <v>34.153153000000003</v>
      </c>
      <c r="AL78" s="7">
        <f t="shared" si="14"/>
        <v>0.15315300000001741</v>
      </c>
      <c r="AM78">
        <f>SBC!K77</f>
        <v>0</v>
      </c>
      <c r="AN78">
        <f t="shared" si="15"/>
        <v>2.5900000000000001E-4</v>
      </c>
      <c r="AO78">
        <f t="shared" si="16"/>
        <v>0.15000000000000244</v>
      </c>
      <c r="AP78">
        <f t="shared" si="17"/>
        <v>0.15315300000000112</v>
      </c>
      <c r="AQ78">
        <f>SBC!I77</f>
        <v>0</v>
      </c>
      <c r="AR78">
        <f t="shared" si="12"/>
        <v>6.2325672637473595E-4</v>
      </c>
    </row>
    <row r="79" spans="1:44" x14ac:dyDescent="0.3">
      <c r="A79">
        <v>77</v>
      </c>
      <c r="B79">
        <v>76</v>
      </c>
      <c r="C79">
        <v>77</v>
      </c>
      <c r="D79">
        <v>1</v>
      </c>
      <c r="E79">
        <v>2147483647</v>
      </c>
      <c r="F79">
        <v>0</v>
      </c>
      <c r="G79">
        <v>1</v>
      </c>
      <c r="H79">
        <v>0</v>
      </c>
      <c r="I79">
        <v>0</v>
      </c>
      <c r="J79">
        <v>0</v>
      </c>
      <c r="K79">
        <v>0</v>
      </c>
      <c r="L79" s="2">
        <v>2.8391360424349698E-4</v>
      </c>
      <c r="M79" s="2">
        <v>9.3208850213046606E-5</v>
      </c>
      <c r="N79" s="2">
        <v>4.2797745783784198E-4</v>
      </c>
      <c r="O79" s="2">
        <v>1.15498253787302E-4</v>
      </c>
      <c r="P79" s="2">
        <v>1.4406385359434399E-4</v>
      </c>
      <c r="Q79" s="2">
        <v>3.0013958536843999E-5</v>
      </c>
      <c r="R79" s="2">
        <v>2.3499999999999999E-4</v>
      </c>
      <c r="S79" s="2">
        <v>8.6163117889140705E-5</v>
      </c>
      <c r="T79" s="2">
        <v>3.5500000000000001E-4</v>
      </c>
      <c r="U79" s="2">
        <v>1.06480994211648E-4</v>
      </c>
      <c r="V79" s="2">
        <v>1.2E-4</v>
      </c>
      <c r="W79" s="2">
        <v>2.8215103218161201E-5</v>
      </c>
      <c r="X79">
        <v>0</v>
      </c>
      <c r="Y79">
        <v>-1</v>
      </c>
      <c r="Z79">
        <v>-1</v>
      </c>
      <c r="AA79" s="2">
        <v>9.7E-5</v>
      </c>
      <c r="AB79">
        <v>32.634130436113203</v>
      </c>
      <c r="AC79">
        <v>33.682567052641197</v>
      </c>
      <c r="AD79" s="2">
        <v>1.46E-4</v>
      </c>
      <c r="AE79">
        <v>31.265144860862002</v>
      </c>
      <c r="AF79">
        <v>32.689538514381802</v>
      </c>
      <c r="AH79" s="7">
        <f>SBC!D78</f>
        <v>0</v>
      </c>
      <c r="AI79" s="7">
        <f t="shared" si="18"/>
        <v>33.999999999999986</v>
      </c>
      <c r="AJ79" s="7">
        <f t="shared" si="13"/>
        <v>1.46E-4</v>
      </c>
      <c r="AK79" s="7">
        <f t="shared" si="19"/>
        <v>34.153299000000004</v>
      </c>
      <c r="AL79" s="7">
        <f t="shared" si="14"/>
        <v>0.15329900000001828</v>
      </c>
      <c r="AM79">
        <f>SBC!K78</f>
        <v>0</v>
      </c>
      <c r="AN79">
        <f t="shared" si="15"/>
        <v>1.46E-4</v>
      </c>
      <c r="AO79">
        <f t="shared" si="16"/>
        <v>0.15000000000000244</v>
      </c>
      <c r="AP79">
        <f t="shared" si="17"/>
        <v>0.15329900000000113</v>
      </c>
      <c r="AQ79">
        <f>SBC!I78</f>
        <v>0</v>
      </c>
      <c r="AR79">
        <f t="shared" si="12"/>
        <v>4.2797745783784198E-4</v>
      </c>
    </row>
    <row r="80" spans="1:44" x14ac:dyDescent="0.3">
      <c r="A80">
        <v>78</v>
      </c>
      <c r="B80">
        <v>77</v>
      </c>
      <c r="C80">
        <v>78</v>
      </c>
      <c r="D80">
        <v>1</v>
      </c>
      <c r="E80">
        <v>2147483647</v>
      </c>
      <c r="F80">
        <v>0</v>
      </c>
      <c r="G80">
        <v>1</v>
      </c>
      <c r="H80">
        <v>0</v>
      </c>
      <c r="I80">
        <v>0</v>
      </c>
      <c r="J80">
        <v>0</v>
      </c>
      <c r="K80">
        <v>0</v>
      </c>
      <c r="L80" s="2">
        <v>1.98061427004778E-4</v>
      </c>
      <c r="M80" s="2">
        <v>7.7156450284252299E-5</v>
      </c>
      <c r="N80" s="2">
        <v>2.9854061923673299E-4</v>
      </c>
      <c r="O80" s="2">
        <v>9.5872586606891405E-5</v>
      </c>
      <c r="P80" s="2">
        <v>1.00479192231955E-4</v>
      </c>
      <c r="Q80" s="2">
        <v>2.4995524412944198E-5</v>
      </c>
      <c r="R80" s="2">
        <v>1.64E-4</v>
      </c>
      <c r="S80" s="2">
        <v>7.0257986158021998E-5</v>
      </c>
      <c r="T80" s="2">
        <v>2.4899999999999998E-4</v>
      </c>
      <c r="U80" s="2">
        <v>8.7613720370484201E-5</v>
      </c>
      <c r="V80" s="2">
        <v>8.5000000000000006E-5</v>
      </c>
      <c r="W80" s="2">
        <v>2.37469634681755E-5</v>
      </c>
      <c r="X80">
        <v>0</v>
      </c>
      <c r="Y80">
        <v>-1</v>
      </c>
      <c r="Z80">
        <v>-1</v>
      </c>
      <c r="AA80" s="2">
        <v>7.1000000000000005E-5</v>
      </c>
      <c r="AB80">
        <v>33.677658556285699</v>
      </c>
      <c r="AC80">
        <v>35.093911813880098</v>
      </c>
      <c r="AD80" s="2">
        <v>1.06E-4</v>
      </c>
      <c r="AE80">
        <v>32.373713700566903</v>
      </c>
      <c r="AF80">
        <v>33.838000333606601</v>
      </c>
      <c r="AH80" s="7">
        <f>SBC!D79</f>
        <v>0</v>
      </c>
      <c r="AI80" s="7">
        <f t="shared" si="18"/>
        <v>33.999999999999986</v>
      </c>
      <c r="AJ80" s="7">
        <f t="shared" si="13"/>
        <v>1.06E-4</v>
      </c>
      <c r="AK80" s="7">
        <f t="shared" si="19"/>
        <v>34.153405000000006</v>
      </c>
      <c r="AL80" s="7">
        <f t="shared" si="14"/>
        <v>0.15340500000002066</v>
      </c>
      <c r="AM80">
        <f>SBC!K79</f>
        <v>0</v>
      </c>
      <c r="AN80">
        <f t="shared" si="15"/>
        <v>1.06E-4</v>
      </c>
      <c r="AO80">
        <f t="shared" si="16"/>
        <v>0.15000000000000244</v>
      </c>
      <c r="AP80">
        <f t="shared" si="17"/>
        <v>0.15340500000000112</v>
      </c>
      <c r="AQ80">
        <f>SBC!I79</f>
        <v>0</v>
      </c>
      <c r="AR80">
        <f t="shared" si="12"/>
        <v>2.9854061923673299E-4</v>
      </c>
    </row>
    <row r="81" spans="1:44" x14ac:dyDescent="0.3">
      <c r="A81">
        <v>79</v>
      </c>
      <c r="B81">
        <v>78</v>
      </c>
      <c r="C81">
        <v>79</v>
      </c>
      <c r="D81">
        <v>1</v>
      </c>
      <c r="E81">
        <v>2147483647</v>
      </c>
      <c r="F81">
        <v>0</v>
      </c>
      <c r="G81">
        <v>1</v>
      </c>
      <c r="H81">
        <v>0</v>
      </c>
      <c r="I81">
        <v>0</v>
      </c>
      <c r="J81">
        <v>0</v>
      </c>
      <c r="K81">
        <v>0</v>
      </c>
      <c r="L81" s="2">
        <v>1.4179629655666101E-4</v>
      </c>
      <c r="M81" s="2">
        <v>6.3884654040539501E-5</v>
      </c>
      <c r="N81" s="2">
        <v>2.1604859526598599E-4</v>
      </c>
      <c r="O81" s="2">
        <v>8.0182878686545805E-5</v>
      </c>
      <c r="P81" s="2">
        <v>7.4252298709324494E-5</v>
      </c>
      <c r="Q81" s="2">
        <v>2.1748385268066601E-5</v>
      </c>
      <c r="R81" s="2">
        <v>1.21E-4</v>
      </c>
      <c r="S81" s="2">
        <v>5.8680611741944902E-5</v>
      </c>
      <c r="T81" s="2">
        <v>1.8900000000000001E-4</v>
      </c>
      <c r="U81" s="2">
        <v>7.4162607000462995E-5</v>
      </c>
      <c r="V81" s="2">
        <v>6.7999999999999999E-5</v>
      </c>
      <c r="W81" s="2">
        <v>2.1240110383601101E-5</v>
      </c>
      <c r="X81">
        <v>0</v>
      </c>
      <c r="Y81">
        <v>-1</v>
      </c>
      <c r="Z81">
        <v>-1</v>
      </c>
      <c r="AA81" s="2">
        <v>4.3000000000000002E-5</v>
      </c>
      <c r="AB81">
        <v>34.848675863694602</v>
      </c>
      <c r="AC81">
        <v>35.716226051743703</v>
      </c>
      <c r="AD81" s="2">
        <v>6.0000000000000002E-5</v>
      </c>
      <c r="AE81">
        <v>33.386702160754801</v>
      </c>
      <c r="AF81">
        <v>34.882745229327703</v>
      </c>
      <c r="AH81" s="7">
        <f>SBC!D80</f>
        <v>0</v>
      </c>
      <c r="AI81" s="7">
        <f t="shared" si="18"/>
        <v>33.999999999999986</v>
      </c>
      <c r="AJ81" s="7">
        <f t="shared" si="13"/>
        <v>6.0000000000000002E-5</v>
      </c>
      <c r="AK81" s="7">
        <f t="shared" si="19"/>
        <v>34.153465000000004</v>
      </c>
      <c r="AL81" s="7">
        <f t="shared" si="14"/>
        <v>0.15346500000001839</v>
      </c>
      <c r="AM81">
        <f>SBC!K80</f>
        <v>0</v>
      </c>
      <c r="AN81">
        <f t="shared" si="15"/>
        <v>6.0000000000000002E-5</v>
      </c>
      <c r="AO81">
        <f t="shared" si="16"/>
        <v>0.15000000000000244</v>
      </c>
      <c r="AP81">
        <f t="shared" si="17"/>
        <v>0.15346500000000113</v>
      </c>
      <c r="AQ81">
        <f>SBC!I80</f>
        <v>0</v>
      </c>
      <c r="AR81">
        <f t="shared" si="12"/>
        <v>2.1604859526598599E-4</v>
      </c>
    </row>
    <row r="82" spans="1:44" x14ac:dyDescent="0.3">
      <c r="A82">
        <v>80</v>
      </c>
      <c r="B82">
        <v>79</v>
      </c>
      <c r="C82">
        <v>80</v>
      </c>
      <c r="D82">
        <v>1</v>
      </c>
      <c r="E82">
        <v>2147483647</v>
      </c>
      <c r="F82">
        <v>0</v>
      </c>
      <c r="G82">
        <v>1</v>
      </c>
      <c r="H82">
        <v>0</v>
      </c>
      <c r="I82">
        <v>0</v>
      </c>
      <c r="J82">
        <v>0</v>
      </c>
      <c r="K82">
        <v>0</v>
      </c>
      <c r="L82" s="2">
        <v>1.0566010096952501E-4</v>
      </c>
      <c r="M82" s="2">
        <v>5.33455415368161E-5</v>
      </c>
      <c r="N82" s="2">
        <v>1.6184756064955801E-4</v>
      </c>
      <c r="O82" s="2">
        <v>6.7756653053236806E-5</v>
      </c>
      <c r="P82" s="2">
        <v>5.6187459680033102E-5</v>
      </c>
      <c r="Q82" s="2">
        <v>1.8742713248815899E-5</v>
      </c>
      <c r="R82" s="2">
        <v>9.3999999999999994E-5</v>
      </c>
      <c r="S82" s="2">
        <v>5.0475158928385603E-5</v>
      </c>
      <c r="T82" s="2">
        <v>1.4300000000000001E-4</v>
      </c>
      <c r="U82" s="2">
        <v>6.4188278620271402E-5</v>
      </c>
      <c r="V82" s="2">
        <v>4.8999999999999998E-5</v>
      </c>
      <c r="W82" s="2">
        <v>1.8030363364705101E-5</v>
      </c>
      <c r="X82">
        <v>0</v>
      </c>
      <c r="Y82">
        <v>-1</v>
      </c>
      <c r="Z82">
        <v>-1</v>
      </c>
      <c r="AA82" s="2">
        <v>2.6999999999999999E-5</v>
      </c>
      <c r="AB82">
        <v>35.806347013727901</v>
      </c>
      <c r="AC82">
        <v>36.763584122561603</v>
      </c>
      <c r="AD82" s="2">
        <v>4.6E-5</v>
      </c>
      <c r="AE82">
        <v>34.0992720316302</v>
      </c>
      <c r="AF82">
        <v>35.787287444110703</v>
      </c>
      <c r="AH82" s="7">
        <f>SBC!D81</f>
        <v>0</v>
      </c>
      <c r="AI82" s="7">
        <f t="shared" si="18"/>
        <v>33.999999999999986</v>
      </c>
      <c r="AJ82" s="7">
        <f t="shared" si="13"/>
        <v>4.6E-5</v>
      </c>
      <c r="AK82" s="7">
        <f t="shared" si="19"/>
        <v>34.153511000000002</v>
      </c>
      <c r="AL82" s="7">
        <f t="shared" si="14"/>
        <v>0.15351100000001594</v>
      </c>
      <c r="AM82">
        <f>SBC!K81</f>
        <v>0</v>
      </c>
      <c r="AN82">
        <f t="shared" si="15"/>
        <v>4.6E-5</v>
      </c>
      <c r="AO82">
        <f t="shared" si="16"/>
        <v>0.15000000000000244</v>
      </c>
      <c r="AP82">
        <f t="shared" si="17"/>
        <v>0.15351100000000112</v>
      </c>
      <c r="AQ82">
        <f>SBC!I81</f>
        <v>0</v>
      </c>
      <c r="AR82">
        <f t="shared" si="12"/>
        <v>1.6184756064955801E-4</v>
      </c>
    </row>
    <row r="83" spans="1:44" x14ac:dyDescent="0.3">
      <c r="A83">
        <v>81</v>
      </c>
      <c r="B83">
        <v>80</v>
      </c>
      <c r="C83">
        <v>81</v>
      </c>
      <c r="D83">
        <v>1</v>
      </c>
      <c r="E83">
        <v>2147483647</v>
      </c>
      <c r="F83">
        <v>0</v>
      </c>
      <c r="G83">
        <v>1</v>
      </c>
      <c r="H83">
        <v>0</v>
      </c>
      <c r="I83">
        <v>0</v>
      </c>
      <c r="J83">
        <v>0</v>
      </c>
      <c r="K83">
        <v>0</v>
      </c>
      <c r="L83" s="2">
        <v>8.13966330325E-5</v>
      </c>
      <c r="M83" s="2">
        <v>4.44304717514712E-5</v>
      </c>
      <c r="N83" s="2">
        <v>1.21179742883652E-4</v>
      </c>
      <c r="O83" s="2">
        <v>5.7456705008462498E-5</v>
      </c>
      <c r="P83" s="2">
        <v>3.9783109851152001E-5</v>
      </c>
      <c r="Q83" s="2">
        <v>1.58069551605997E-5</v>
      </c>
      <c r="R83" s="2">
        <v>6.8999999999999997E-5</v>
      </c>
      <c r="S83" s="2">
        <v>3.8978965261935098E-5</v>
      </c>
      <c r="T83" s="2">
        <v>1.0399999999999999E-4</v>
      </c>
      <c r="U83" s="2">
        <v>5.1644522173884998E-5</v>
      </c>
      <c r="V83" s="2">
        <v>3.4999999999999997E-5</v>
      </c>
      <c r="W83" s="2">
        <v>1.5238544985903499E-5</v>
      </c>
      <c r="X83">
        <v>0</v>
      </c>
      <c r="Y83">
        <v>-1</v>
      </c>
      <c r="Z83">
        <v>-1</v>
      </c>
      <c r="AA83" s="2">
        <v>2.5000000000000001E-5</v>
      </c>
      <c r="AB83">
        <v>37.2058558230869</v>
      </c>
      <c r="AC83">
        <v>38.354180927546501</v>
      </c>
      <c r="AD83" s="2">
        <v>3.8999999999999999E-5</v>
      </c>
      <c r="AE83">
        <v>35.570485260317099</v>
      </c>
      <c r="AF83">
        <v>37.136593588461103</v>
      </c>
      <c r="AH83" s="7">
        <f>SBC!D82</f>
        <v>0</v>
      </c>
      <c r="AI83" s="7">
        <f t="shared" si="18"/>
        <v>33.999999999999986</v>
      </c>
      <c r="AJ83" s="7">
        <f t="shared" si="13"/>
        <v>3.8999999999999999E-5</v>
      </c>
      <c r="AK83" s="7">
        <f t="shared" si="19"/>
        <v>34.153550000000003</v>
      </c>
      <c r="AL83" s="7">
        <f t="shared" si="14"/>
        <v>0.15355000000001695</v>
      </c>
      <c r="AM83">
        <f>SBC!K82</f>
        <v>0</v>
      </c>
      <c r="AN83">
        <f t="shared" si="15"/>
        <v>3.8999999999999999E-5</v>
      </c>
      <c r="AO83">
        <f t="shared" si="16"/>
        <v>0.15000000000000244</v>
      </c>
      <c r="AP83">
        <f t="shared" si="17"/>
        <v>0.15355000000000113</v>
      </c>
      <c r="AQ83">
        <f>SBC!I82</f>
        <v>0</v>
      </c>
      <c r="AR83">
        <f t="shared" si="12"/>
        <v>1.21179742883652E-4</v>
      </c>
    </row>
    <row r="84" spans="1:44" x14ac:dyDescent="0.3">
      <c r="A84">
        <v>82</v>
      </c>
      <c r="B84">
        <v>81</v>
      </c>
      <c r="C84">
        <v>82</v>
      </c>
      <c r="D84">
        <v>1</v>
      </c>
      <c r="E84">
        <v>2147483647</v>
      </c>
      <c r="F84">
        <v>0</v>
      </c>
      <c r="G84">
        <v>1</v>
      </c>
      <c r="H84">
        <v>0</v>
      </c>
      <c r="I84">
        <v>0</v>
      </c>
      <c r="J84">
        <v>0</v>
      </c>
      <c r="K84">
        <v>0</v>
      </c>
      <c r="L84" s="2">
        <v>5.55974762982387E-5</v>
      </c>
      <c r="M84" s="2">
        <v>3.3395113688065501E-5</v>
      </c>
      <c r="N84" s="2">
        <v>8.5844792591807805E-5</v>
      </c>
      <c r="O84" s="2">
        <v>4.5097642161600302E-5</v>
      </c>
      <c r="P84" s="2">
        <v>3.0247316293569E-5</v>
      </c>
      <c r="Q84" s="2">
        <v>1.37259776973765E-5</v>
      </c>
      <c r="R84" s="2">
        <v>4.0000000000000003E-5</v>
      </c>
      <c r="S84" s="2">
        <v>2.8216608164128899E-5</v>
      </c>
      <c r="T84" s="2">
        <v>6.6000000000000005E-5</v>
      </c>
      <c r="U84" s="2">
        <v>3.8722832156509397E-5</v>
      </c>
      <c r="V84" s="2">
        <v>2.5999999999999998E-5</v>
      </c>
      <c r="W84" s="2">
        <v>1.31340331367196E-5</v>
      </c>
      <c r="X84">
        <v>0</v>
      </c>
      <c r="Y84">
        <v>-1</v>
      </c>
      <c r="Z84">
        <v>-1</v>
      </c>
      <c r="AA84" s="2">
        <v>2.9E-5</v>
      </c>
      <c r="AB84">
        <v>37.289855657529301</v>
      </c>
      <c r="AC84">
        <v>38.083158764260297</v>
      </c>
      <c r="AD84" s="2">
        <v>3.8000000000000002E-5</v>
      </c>
      <c r="AE84">
        <v>36.068621224147101</v>
      </c>
      <c r="AF84">
        <v>37.5387521035803</v>
      </c>
      <c r="AH84" s="7">
        <f>SBC!D83</f>
        <v>0</v>
      </c>
      <c r="AI84" s="7">
        <f t="shared" si="18"/>
        <v>33.999999999999986</v>
      </c>
      <c r="AJ84" s="7">
        <f t="shared" si="13"/>
        <v>3.8000000000000002E-5</v>
      </c>
      <c r="AK84" s="7">
        <f t="shared" si="19"/>
        <v>34.153588000000006</v>
      </c>
      <c r="AL84" s="7">
        <f t="shared" si="14"/>
        <v>0.15358800000002049</v>
      </c>
      <c r="AM84">
        <f>SBC!K83</f>
        <v>0</v>
      </c>
      <c r="AN84">
        <f t="shared" si="15"/>
        <v>3.8000000000000002E-5</v>
      </c>
      <c r="AO84">
        <f t="shared" si="16"/>
        <v>0.15000000000000244</v>
      </c>
      <c r="AP84">
        <f t="shared" si="17"/>
        <v>0.15358800000000114</v>
      </c>
      <c r="AQ84">
        <f>SBC!I83</f>
        <v>0</v>
      </c>
      <c r="AR84">
        <f t="shared" si="12"/>
        <v>8.5844792591807805E-5</v>
      </c>
    </row>
    <row r="85" spans="1:44" x14ac:dyDescent="0.3">
      <c r="A85">
        <v>83</v>
      </c>
      <c r="B85">
        <v>82</v>
      </c>
      <c r="C85">
        <v>83</v>
      </c>
      <c r="D85">
        <v>1</v>
      </c>
      <c r="E85">
        <v>2147483647</v>
      </c>
      <c r="F85">
        <v>0</v>
      </c>
      <c r="G85">
        <v>1</v>
      </c>
      <c r="H85">
        <v>0</v>
      </c>
      <c r="I85">
        <v>0</v>
      </c>
      <c r="J85">
        <v>0</v>
      </c>
      <c r="K85">
        <v>0</v>
      </c>
      <c r="L85" s="2">
        <v>3.09869488204664E-5</v>
      </c>
      <c r="M85" s="2">
        <v>2.3577917973949199E-5</v>
      </c>
      <c r="N85" s="2">
        <v>5.4169992247053798E-5</v>
      </c>
      <c r="O85" s="2">
        <v>3.3342554101930402E-5</v>
      </c>
      <c r="P85" s="2">
        <v>2.3183043426587299E-5</v>
      </c>
      <c r="Q85" s="2">
        <v>1.20787979432613E-5</v>
      </c>
      <c r="R85" s="2">
        <v>2.0000000000000002E-5</v>
      </c>
      <c r="S85" s="2">
        <v>1.7086040983396099E-5</v>
      </c>
      <c r="T85" s="2">
        <v>3.8999999999999999E-5</v>
      </c>
      <c r="U85" s="2">
        <v>2.6141619273248102E-5</v>
      </c>
      <c r="V85" s="2">
        <v>1.9000000000000001E-5</v>
      </c>
      <c r="W85" s="2">
        <v>1.12276729655672E-5</v>
      </c>
      <c r="X85">
        <v>0</v>
      </c>
      <c r="Y85">
        <v>-1</v>
      </c>
      <c r="Z85">
        <v>-1</v>
      </c>
      <c r="AA85" s="2">
        <v>2.0000000000000002E-5</v>
      </c>
      <c r="AB85">
        <v>38.2532446718212</v>
      </c>
      <c r="AC85">
        <v>38.8906477638239</v>
      </c>
      <c r="AD85" s="2">
        <v>2.6999999999999999E-5</v>
      </c>
      <c r="AE85">
        <v>37.152148450221397</v>
      </c>
      <c r="AF85">
        <v>38.333508828728199</v>
      </c>
      <c r="AH85" s="7">
        <f>SBC!D84</f>
        <v>0</v>
      </c>
      <c r="AI85" s="7">
        <f t="shared" si="18"/>
        <v>33.999999999999986</v>
      </c>
      <c r="AJ85" s="7">
        <f t="shared" si="13"/>
        <v>2.6999999999999999E-5</v>
      </c>
      <c r="AK85" s="7">
        <f t="shared" si="19"/>
        <v>34.153615000000009</v>
      </c>
      <c r="AL85" s="7">
        <f t="shared" si="14"/>
        <v>0.15361500000002337</v>
      </c>
      <c r="AM85">
        <f>SBC!K84</f>
        <v>0</v>
      </c>
      <c r="AN85">
        <f t="shared" si="15"/>
        <v>2.6999999999999999E-5</v>
      </c>
      <c r="AO85">
        <f t="shared" si="16"/>
        <v>0.15000000000000244</v>
      </c>
      <c r="AP85">
        <f t="shared" si="17"/>
        <v>0.15361500000000114</v>
      </c>
      <c r="AQ85">
        <f>SBC!I84</f>
        <v>0</v>
      </c>
      <c r="AR85">
        <f t="shared" si="12"/>
        <v>5.4169992247053798E-5</v>
      </c>
    </row>
    <row r="86" spans="1:44" x14ac:dyDescent="0.3">
      <c r="A86">
        <v>84</v>
      </c>
      <c r="B86">
        <v>83</v>
      </c>
      <c r="C86">
        <v>84</v>
      </c>
      <c r="D86">
        <v>1</v>
      </c>
      <c r="E86">
        <v>2147483647</v>
      </c>
      <c r="F86">
        <v>0</v>
      </c>
      <c r="G86">
        <v>1</v>
      </c>
      <c r="H86">
        <v>0</v>
      </c>
      <c r="I86">
        <v>0</v>
      </c>
      <c r="J86">
        <v>0</v>
      </c>
      <c r="K86">
        <v>0</v>
      </c>
      <c r="L86" s="2">
        <v>1.5137191471658901E-5</v>
      </c>
      <c r="M86" s="2">
        <v>1.41022184733837E-5</v>
      </c>
      <c r="N86" s="2">
        <v>3.1607308174136997E-5</v>
      </c>
      <c r="O86" s="2">
        <v>2.2308436318351299E-5</v>
      </c>
      <c r="P86" s="2">
        <v>1.6470116702478098E-5</v>
      </c>
      <c r="Q86" s="2">
        <v>1.0006038207112799E-5</v>
      </c>
      <c r="R86" s="2">
        <v>9.0000000000000002E-6</v>
      </c>
      <c r="S86" s="2">
        <v>9.9761170596928097E-6</v>
      </c>
      <c r="T86" s="2">
        <v>2.0999999999999999E-5</v>
      </c>
      <c r="U86" s="2">
        <v>1.72791035952839E-5</v>
      </c>
      <c r="V86" s="2">
        <v>1.2E-5</v>
      </c>
      <c r="W86" s="2">
        <v>8.9228809129755998E-6</v>
      </c>
      <c r="X86">
        <v>0</v>
      </c>
      <c r="Y86">
        <v>-1</v>
      </c>
      <c r="Z86">
        <v>-1</v>
      </c>
      <c r="AA86" s="2">
        <v>1.1E-5</v>
      </c>
      <c r="AB86">
        <v>39.138048232827401</v>
      </c>
      <c r="AC86">
        <v>39.947057708529499</v>
      </c>
      <c r="AD86" s="2">
        <v>1.8E-5</v>
      </c>
      <c r="AE86">
        <v>37.508348849289703</v>
      </c>
      <c r="AF86">
        <v>39.281553755588902</v>
      </c>
      <c r="AH86" s="7">
        <f>SBC!D85</f>
        <v>0</v>
      </c>
      <c r="AI86" s="7">
        <f t="shared" si="18"/>
        <v>33.999999999999986</v>
      </c>
      <c r="AJ86" s="7">
        <f t="shared" si="13"/>
        <v>1.8E-5</v>
      </c>
      <c r="AK86" s="7">
        <f t="shared" si="19"/>
        <v>34.153633000000006</v>
      </c>
      <c r="AL86" s="7">
        <f t="shared" si="14"/>
        <v>0.15363300000002056</v>
      </c>
      <c r="AM86">
        <f>SBC!K85</f>
        <v>0</v>
      </c>
      <c r="AN86">
        <f t="shared" si="15"/>
        <v>1.8E-5</v>
      </c>
      <c r="AO86">
        <f t="shared" si="16"/>
        <v>0.15000000000000244</v>
      </c>
      <c r="AP86">
        <f t="shared" si="17"/>
        <v>0.15363300000000113</v>
      </c>
      <c r="AQ86">
        <f>SBC!I85</f>
        <v>0</v>
      </c>
      <c r="AR86">
        <f t="shared" si="12"/>
        <v>3.1607308174136997E-5</v>
      </c>
    </row>
    <row r="87" spans="1:44" x14ac:dyDescent="0.3">
      <c r="A87">
        <v>85</v>
      </c>
      <c r="B87">
        <v>84</v>
      </c>
      <c r="C87">
        <v>85</v>
      </c>
      <c r="D87">
        <v>1</v>
      </c>
      <c r="E87">
        <v>2147483647</v>
      </c>
      <c r="F87">
        <v>0</v>
      </c>
      <c r="G87">
        <v>1</v>
      </c>
      <c r="H87">
        <v>0</v>
      </c>
      <c r="I87">
        <v>0</v>
      </c>
      <c r="J87">
        <v>0</v>
      </c>
      <c r="K87">
        <v>0</v>
      </c>
      <c r="L87" s="2">
        <v>5.2864928187956597E-6</v>
      </c>
      <c r="M87" s="2">
        <v>7.0203115323799801E-6</v>
      </c>
      <c r="N87" s="2">
        <v>1.51190162869416E-5</v>
      </c>
      <c r="O87" s="2">
        <v>1.34766221430672E-5</v>
      </c>
      <c r="P87" s="2">
        <v>9.8325234681459797E-6</v>
      </c>
      <c r="Q87" s="2">
        <v>7.8949619623691104E-6</v>
      </c>
      <c r="R87" s="2">
        <v>3.9999999999999998E-6</v>
      </c>
      <c r="S87" s="2">
        <v>5.1516483037702904E-6</v>
      </c>
      <c r="T87" s="2">
        <v>1.1E-5</v>
      </c>
      <c r="U87" s="2">
        <v>1.12277438783094E-5</v>
      </c>
      <c r="V87" s="2">
        <v>6.9999999999999999E-6</v>
      </c>
      <c r="W87" s="2">
        <v>6.8149799043882104E-6</v>
      </c>
      <c r="X87">
        <v>0</v>
      </c>
      <c r="Y87">
        <v>-1</v>
      </c>
      <c r="Z87">
        <v>-1</v>
      </c>
      <c r="AA87" s="2">
        <v>5.0000000000000004E-6</v>
      </c>
      <c r="AB87">
        <v>39.631702545911402</v>
      </c>
      <c r="AC87">
        <v>40.814050516094198</v>
      </c>
      <c r="AD87" s="2">
        <v>1.0000000000000001E-5</v>
      </c>
      <c r="AE87">
        <v>39.289014199157698</v>
      </c>
      <c r="AF87">
        <v>40.101350959415498</v>
      </c>
      <c r="AH87" s="7">
        <f>SBC!D86</f>
        <v>0</v>
      </c>
      <c r="AI87" s="7">
        <f t="shared" si="18"/>
        <v>33.999999999999986</v>
      </c>
      <c r="AJ87" s="7">
        <f t="shared" si="13"/>
        <v>1.0000000000000001E-5</v>
      </c>
      <c r="AK87" s="7">
        <f t="shared" si="19"/>
        <v>34.15364300000001</v>
      </c>
      <c r="AL87" s="7">
        <f t="shared" si="14"/>
        <v>0.15364300000002373</v>
      </c>
      <c r="AM87">
        <f>SBC!K86</f>
        <v>0</v>
      </c>
      <c r="AN87">
        <f t="shared" si="15"/>
        <v>1.0000000000000001E-5</v>
      </c>
      <c r="AO87">
        <f t="shared" si="16"/>
        <v>0.15000000000000244</v>
      </c>
      <c r="AP87">
        <f t="shared" si="17"/>
        <v>0.15364300000000114</v>
      </c>
      <c r="AQ87">
        <f>SBC!I86</f>
        <v>0</v>
      </c>
      <c r="AR87">
        <f t="shared" si="12"/>
        <v>1.51190162869416E-5</v>
      </c>
    </row>
    <row r="88" spans="1:44" x14ac:dyDescent="0.3">
      <c r="A88">
        <v>86</v>
      </c>
      <c r="B88">
        <v>85</v>
      </c>
      <c r="C88">
        <v>86</v>
      </c>
      <c r="D88">
        <v>1</v>
      </c>
      <c r="E88">
        <v>2147483647</v>
      </c>
      <c r="F88">
        <v>0</v>
      </c>
      <c r="G88">
        <v>1</v>
      </c>
      <c r="H88">
        <v>0</v>
      </c>
      <c r="I88">
        <v>0</v>
      </c>
      <c r="J88">
        <v>0</v>
      </c>
      <c r="K88">
        <v>0</v>
      </c>
      <c r="L88" s="2">
        <v>1.73294947667599E-6</v>
      </c>
      <c r="M88" s="2">
        <v>2.8535987063244101E-6</v>
      </c>
      <c r="N88" s="2">
        <v>6.9577387482246101E-6</v>
      </c>
      <c r="O88" s="2">
        <v>7.6397693810530394E-6</v>
      </c>
      <c r="P88" s="2">
        <v>5.2247892715486098E-6</v>
      </c>
      <c r="Q88" s="2">
        <v>5.4409959108906296E-6</v>
      </c>
      <c r="R88" s="2">
        <v>9.9999999999999995E-7</v>
      </c>
      <c r="S88" s="2">
        <v>2.5758280156339301E-6</v>
      </c>
      <c r="T88" s="2">
        <v>3.9999999999999998E-6</v>
      </c>
      <c r="U88" s="2">
        <v>6.3094590455744898E-6</v>
      </c>
      <c r="V88" s="2">
        <v>3.0000000000000001E-6</v>
      </c>
      <c r="W88" s="2">
        <v>4.4614605331656003E-6</v>
      </c>
      <c r="X88">
        <v>0</v>
      </c>
      <c r="Y88">
        <v>-1</v>
      </c>
      <c r="Z88">
        <v>-1</v>
      </c>
      <c r="AA88" s="2">
        <v>3.0000000000000001E-6</v>
      </c>
      <c r="AB88">
        <v>40.982717345519198</v>
      </c>
      <c r="AC88">
        <v>41.627217966663103</v>
      </c>
      <c r="AD88" s="2">
        <v>6.9999999999999999E-6</v>
      </c>
      <c r="AE88">
        <v>39.649586992100197</v>
      </c>
      <c r="AF88">
        <v>41.036715115727503</v>
      </c>
      <c r="AH88" s="7">
        <f>SBC!D87</f>
        <v>0</v>
      </c>
      <c r="AI88" s="7">
        <f t="shared" si="18"/>
        <v>33.999999999999986</v>
      </c>
      <c r="AJ88" s="7">
        <f t="shared" si="13"/>
        <v>6.9999999999999999E-6</v>
      </c>
      <c r="AK88" s="7">
        <f t="shared" si="19"/>
        <v>34.153650000000006</v>
      </c>
      <c r="AL88" s="7">
        <f t="shared" si="14"/>
        <v>0.15365000000002027</v>
      </c>
      <c r="AM88">
        <f>SBC!K87</f>
        <v>0</v>
      </c>
      <c r="AN88">
        <f t="shared" si="15"/>
        <v>6.9999999999999999E-6</v>
      </c>
      <c r="AO88">
        <f t="shared" si="16"/>
        <v>0.15000000000000244</v>
      </c>
      <c r="AP88">
        <f t="shared" si="17"/>
        <v>0.15365000000000115</v>
      </c>
      <c r="AQ88">
        <f>SBC!I87</f>
        <v>0</v>
      </c>
      <c r="AR88">
        <f t="shared" si="12"/>
        <v>6.9577387482246101E-6</v>
      </c>
    </row>
    <row r="89" spans="1:44" x14ac:dyDescent="0.3">
      <c r="A89">
        <v>87</v>
      </c>
      <c r="B89">
        <v>86</v>
      </c>
      <c r="C89">
        <v>87</v>
      </c>
      <c r="D89">
        <v>1</v>
      </c>
      <c r="E89">
        <v>2147483647</v>
      </c>
      <c r="F89">
        <v>0</v>
      </c>
      <c r="G89">
        <v>1</v>
      </c>
      <c r="H89">
        <v>0</v>
      </c>
      <c r="I89">
        <v>0</v>
      </c>
      <c r="J89">
        <v>0</v>
      </c>
      <c r="K89">
        <v>0</v>
      </c>
      <c r="L89" s="2">
        <v>9.9999999999999995E-7</v>
      </c>
      <c r="M89" s="2">
        <v>2.5758280156339301E-6</v>
      </c>
      <c r="N89" s="2">
        <v>3.8047339013271299E-6</v>
      </c>
      <c r="O89" s="2">
        <v>6.1213661696688697E-6</v>
      </c>
      <c r="P89" s="2">
        <v>2.8047339013271399E-6</v>
      </c>
      <c r="Q89" s="2">
        <v>4.1912382219623601E-6</v>
      </c>
      <c r="R89" s="2">
        <v>9.9999999999999995E-7</v>
      </c>
      <c r="S89" s="2">
        <v>2.5758280156339301E-6</v>
      </c>
      <c r="T89" s="2">
        <v>3.0000000000000001E-6</v>
      </c>
      <c r="U89" s="2">
        <v>5.7597242374124803E-6</v>
      </c>
      <c r="V89" s="2">
        <v>1.9999999999999999E-6</v>
      </c>
      <c r="W89" s="2">
        <v>3.6427690926623402E-6</v>
      </c>
      <c r="X89">
        <v>0</v>
      </c>
      <c r="Y89">
        <v>-1</v>
      </c>
      <c r="Z89">
        <v>-1</v>
      </c>
      <c r="AA89" s="2">
        <v>0</v>
      </c>
      <c r="AB89">
        <v>-1</v>
      </c>
      <c r="AC89">
        <v>-1</v>
      </c>
      <c r="AD89" s="2">
        <v>9.9999999999999995E-7</v>
      </c>
      <c r="AE89">
        <v>39.914409026705002</v>
      </c>
      <c r="AF89">
        <v>41.299342807065401</v>
      </c>
      <c r="AH89" s="7">
        <f>SBC!D88</f>
        <v>0</v>
      </c>
      <c r="AI89" s="7">
        <f t="shared" si="18"/>
        <v>33.999999999999986</v>
      </c>
      <c r="AJ89" s="7">
        <f t="shared" si="13"/>
        <v>9.9999999999999995E-7</v>
      </c>
      <c r="AK89" s="7">
        <f t="shared" si="19"/>
        <v>34.153651000000004</v>
      </c>
      <c r="AL89" s="7">
        <f t="shared" si="14"/>
        <v>0.15365100000001775</v>
      </c>
      <c r="AM89">
        <f>SBC!K88</f>
        <v>0</v>
      </c>
      <c r="AN89">
        <f t="shared" si="15"/>
        <v>9.9999999999999995E-7</v>
      </c>
      <c r="AO89">
        <f t="shared" si="16"/>
        <v>0.15000000000000244</v>
      </c>
      <c r="AP89">
        <f t="shared" si="17"/>
        <v>0.15365100000000115</v>
      </c>
      <c r="AQ89">
        <f>SBC!I88</f>
        <v>0</v>
      </c>
      <c r="AR89">
        <f t="shared" si="12"/>
        <v>3.8047339013271299E-6</v>
      </c>
    </row>
    <row r="90" spans="1:44" x14ac:dyDescent="0.3">
      <c r="A90">
        <v>88</v>
      </c>
      <c r="B90">
        <v>87</v>
      </c>
      <c r="C90">
        <v>88</v>
      </c>
      <c r="D90">
        <v>1</v>
      </c>
      <c r="E90">
        <v>2147483647</v>
      </c>
      <c r="F90">
        <v>0</v>
      </c>
      <c r="G90">
        <v>1</v>
      </c>
      <c r="H90">
        <v>0</v>
      </c>
      <c r="I90">
        <v>0</v>
      </c>
      <c r="J90">
        <v>0</v>
      </c>
      <c r="K90">
        <v>0</v>
      </c>
      <c r="L90" s="2">
        <v>1.2950233187645199E-7</v>
      </c>
      <c r="M90" s="2">
        <v>3.3357573453728802E-7</v>
      </c>
      <c r="N90" s="2">
        <v>9.6910083212270502E-7</v>
      </c>
      <c r="O90" s="2">
        <v>1.79721045074533E-6</v>
      </c>
      <c r="P90" s="2">
        <v>8.3959850024625295E-7</v>
      </c>
      <c r="Q90" s="2">
        <v>1.5326503769262099E-6</v>
      </c>
      <c r="R90" s="2">
        <v>0</v>
      </c>
      <c r="S90" s="2">
        <v>0</v>
      </c>
      <c r="T90" s="2">
        <v>0</v>
      </c>
      <c r="U90" s="2">
        <v>0</v>
      </c>
      <c r="V90" s="2">
        <v>0</v>
      </c>
      <c r="W90" s="2">
        <v>0</v>
      </c>
      <c r="X90">
        <v>0</v>
      </c>
      <c r="Y90">
        <v>-1</v>
      </c>
      <c r="Z90">
        <v>-1</v>
      </c>
      <c r="AA90" s="2">
        <v>9.9999999999999995E-7</v>
      </c>
      <c r="AB90">
        <v>41.372400546009104</v>
      </c>
      <c r="AC90">
        <v>41.690783410456298</v>
      </c>
      <c r="AD90" s="2">
        <v>3.0000000000000001E-6</v>
      </c>
      <c r="AE90">
        <v>39.1413748817846</v>
      </c>
      <c r="AF90">
        <v>42.153600479159998</v>
      </c>
      <c r="AH90" s="7">
        <f>SBC!D89</f>
        <v>0</v>
      </c>
      <c r="AI90" s="7">
        <f t="shared" si="18"/>
        <v>33.999999999999986</v>
      </c>
      <c r="AJ90" s="7">
        <f t="shared" si="13"/>
        <v>3.0000000000000001E-6</v>
      </c>
      <c r="AK90" s="7">
        <f t="shared" si="19"/>
        <v>34.153654000000003</v>
      </c>
      <c r="AL90" s="7">
        <f t="shared" si="14"/>
        <v>0.15365400000001728</v>
      </c>
      <c r="AM90">
        <f>SBC!K89</f>
        <v>0</v>
      </c>
      <c r="AN90">
        <f t="shared" si="15"/>
        <v>3.0000000000000001E-6</v>
      </c>
      <c r="AO90">
        <f t="shared" si="16"/>
        <v>0.15000000000000244</v>
      </c>
      <c r="AP90">
        <f t="shared" si="17"/>
        <v>0.15365400000000115</v>
      </c>
      <c r="AQ90">
        <f>SBC!I89</f>
        <v>0</v>
      </c>
      <c r="AR90">
        <f t="shared" si="12"/>
        <v>9.6910083212270502E-7</v>
      </c>
    </row>
    <row r="91" spans="1:44" x14ac:dyDescent="0.3">
      <c r="A91">
        <v>89</v>
      </c>
      <c r="B91">
        <v>88</v>
      </c>
      <c r="C91">
        <v>89</v>
      </c>
      <c r="D91">
        <v>1</v>
      </c>
      <c r="E91">
        <v>2147483647</v>
      </c>
      <c r="F91">
        <v>0</v>
      </c>
      <c r="G91">
        <v>1</v>
      </c>
      <c r="H91">
        <v>0</v>
      </c>
      <c r="I91">
        <v>0</v>
      </c>
      <c r="J91">
        <v>0</v>
      </c>
      <c r="K91">
        <v>0</v>
      </c>
      <c r="L91" s="2">
        <v>0</v>
      </c>
      <c r="M91" s="2">
        <v>0</v>
      </c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>
        <v>0</v>
      </c>
      <c r="U91" s="2">
        <v>0</v>
      </c>
      <c r="V91" s="2">
        <v>0</v>
      </c>
      <c r="W91" s="2">
        <v>0</v>
      </c>
      <c r="X91">
        <v>0</v>
      </c>
      <c r="Y91">
        <v>-1</v>
      </c>
      <c r="Z91">
        <v>-1</v>
      </c>
      <c r="AA91" s="2">
        <v>0</v>
      </c>
      <c r="AB91">
        <v>-1</v>
      </c>
      <c r="AC91">
        <v>-1</v>
      </c>
      <c r="AD91" s="2">
        <v>0</v>
      </c>
      <c r="AE91">
        <v>-1</v>
      </c>
      <c r="AF91">
        <v>-1</v>
      </c>
      <c r="AH91" s="7">
        <f>SBC!D90</f>
        <v>0</v>
      </c>
      <c r="AI91" s="7">
        <f t="shared" si="18"/>
        <v>33.999999999999986</v>
      </c>
      <c r="AJ91" s="7">
        <f t="shared" si="13"/>
        <v>0</v>
      </c>
      <c r="AK91" s="7">
        <f t="shared" si="19"/>
        <v>34.153654000000003</v>
      </c>
      <c r="AL91" s="7">
        <f t="shared" si="14"/>
        <v>0.15365400000001728</v>
      </c>
      <c r="AM91">
        <f>SBC!K90</f>
        <v>0</v>
      </c>
      <c r="AN91">
        <f t="shared" si="15"/>
        <v>0</v>
      </c>
      <c r="AO91">
        <f t="shared" si="16"/>
        <v>0.15000000000000244</v>
      </c>
      <c r="AP91">
        <f t="shared" si="17"/>
        <v>0.15365400000000115</v>
      </c>
      <c r="AQ91">
        <f>SBC!I90</f>
        <v>0</v>
      </c>
      <c r="AR91">
        <f t="shared" si="12"/>
        <v>0</v>
      </c>
    </row>
    <row r="92" spans="1:44" x14ac:dyDescent="0.3">
      <c r="A92">
        <v>90</v>
      </c>
      <c r="B92">
        <v>89</v>
      </c>
      <c r="C92">
        <v>90</v>
      </c>
      <c r="D92">
        <v>1</v>
      </c>
      <c r="E92">
        <v>2147483647</v>
      </c>
      <c r="F92">
        <v>0</v>
      </c>
      <c r="G92">
        <v>1</v>
      </c>
      <c r="H92">
        <v>0</v>
      </c>
      <c r="I92">
        <v>0</v>
      </c>
      <c r="J92">
        <v>0</v>
      </c>
      <c r="K92">
        <v>0</v>
      </c>
      <c r="L92" s="2">
        <v>0</v>
      </c>
      <c r="M92" s="2">
        <v>0</v>
      </c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>
        <v>0</v>
      </c>
      <c r="U92" s="2">
        <v>0</v>
      </c>
      <c r="V92" s="2">
        <v>0</v>
      </c>
      <c r="W92" s="2">
        <v>0</v>
      </c>
      <c r="X92">
        <v>0</v>
      </c>
      <c r="Y92">
        <v>-1</v>
      </c>
      <c r="Z92">
        <v>-1</v>
      </c>
      <c r="AA92">
        <v>0</v>
      </c>
      <c r="AB92">
        <v>-1</v>
      </c>
      <c r="AC92">
        <v>-1</v>
      </c>
      <c r="AD92">
        <v>0</v>
      </c>
      <c r="AE92">
        <v>-1</v>
      </c>
      <c r="AF92">
        <v>-1</v>
      </c>
      <c r="AH92" s="7">
        <f>SBC!D91</f>
        <v>0</v>
      </c>
      <c r="AI92" s="7">
        <f t="shared" si="18"/>
        <v>33.999999999999986</v>
      </c>
      <c r="AJ92" s="7">
        <f t="shared" si="13"/>
        <v>0</v>
      </c>
      <c r="AK92" s="7">
        <f t="shared" si="19"/>
        <v>34.153654000000003</v>
      </c>
      <c r="AL92" s="7">
        <f t="shared" si="14"/>
        <v>0.15365400000001728</v>
      </c>
      <c r="AM92">
        <f>SBC!K91</f>
        <v>0</v>
      </c>
      <c r="AN92">
        <f t="shared" si="15"/>
        <v>0</v>
      </c>
      <c r="AO92">
        <f t="shared" si="16"/>
        <v>0.15000000000000244</v>
      </c>
      <c r="AP92">
        <f t="shared" si="17"/>
        <v>0.15365400000000115</v>
      </c>
      <c r="AQ92">
        <f>SBC!I91</f>
        <v>0</v>
      </c>
      <c r="AR92">
        <f t="shared" si="12"/>
        <v>0</v>
      </c>
    </row>
    <row r="93" spans="1:44" x14ac:dyDescent="0.3">
      <c r="A93">
        <v>91</v>
      </c>
      <c r="B93">
        <v>90</v>
      </c>
      <c r="C93">
        <v>91</v>
      </c>
      <c r="D93">
        <v>1</v>
      </c>
      <c r="E93">
        <v>2147483647</v>
      </c>
      <c r="F93">
        <v>0</v>
      </c>
      <c r="G93">
        <v>1</v>
      </c>
      <c r="H93">
        <v>0</v>
      </c>
      <c r="I93">
        <v>0</v>
      </c>
      <c r="J93">
        <v>0</v>
      </c>
      <c r="K93">
        <v>0</v>
      </c>
      <c r="L93" s="2">
        <v>0</v>
      </c>
      <c r="M93" s="2">
        <v>0</v>
      </c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0</v>
      </c>
      <c r="V93" s="2">
        <v>0</v>
      </c>
      <c r="W93" s="2">
        <v>0</v>
      </c>
      <c r="X93">
        <v>0</v>
      </c>
      <c r="Y93">
        <v>-1</v>
      </c>
      <c r="Z93">
        <v>-1</v>
      </c>
      <c r="AA93">
        <v>0</v>
      </c>
      <c r="AB93">
        <v>-1</v>
      </c>
      <c r="AC93">
        <v>-1</v>
      </c>
      <c r="AD93">
        <v>0</v>
      </c>
      <c r="AE93">
        <v>-1</v>
      </c>
      <c r="AF93">
        <v>-1</v>
      </c>
      <c r="AH93" s="7">
        <f>SBC!D92</f>
        <v>0</v>
      </c>
      <c r="AI93" s="7">
        <f t="shared" si="18"/>
        <v>33.999999999999986</v>
      </c>
      <c r="AJ93" s="7">
        <f t="shared" si="13"/>
        <v>0</v>
      </c>
      <c r="AK93" s="7">
        <f t="shared" si="19"/>
        <v>34.153654000000003</v>
      </c>
      <c r="AL93" s="7">
        <f t="shared" si="14"/>
        <v>0.15365400000001728</v>
      </c>
      <c r="AM93">
        <f>SBC!K92</f>
        <v>0</v>
      </c>
      <c r="AN93">
        <f t="shared" si="15"/>
        <v>0</v>
      </c>
      <c r="AO93">
        <f t="shared" si="16"/>
        <v>0.15000000000000244</v>
      </c>
      <c r="AP93">
        <f t="shared" si="17"/>
        <v>0.15365400000000115</v>
      </c>
      <c r="AQ93">
        <f>SBC!I92</f>
        <v>0</v>
      </c>
      <c r="AR93">
        <f t="shared" si="12"/>
        <v>0</v>
      </c>
    </row>
    <row r="94" spans="1:44" x14ac:dyDescent="0.3">
      <c r="A94">
        <v>92</v>
      </c>
      <c r="B94">
        <v>91</v>
      </c>
      <c r="C94">
        <v>92</v>
      </c>
      <c r="D94">
        <v>1</v>
      </c>
      <c r="E94">
        <v>2147483647</v>
      </c>
      <c r="F94">
        <v>0</v>
      </c>
      <c r="G94">
        <v>1</v>
      </c>
      <c r="H94">
        <v>0</v>
      </c>
      <c r="I94">
        <v>0</v>
      </c>
      <c r="J94">
        <v>0</v>
      </c>
      <c r="K94">
        <v>0</v>
      </c>
      <c r="L94" s="2">
        <v>0</v>
      </c>
      <c r="M94" s="2">
        <v>0</v>
      </c>
      <c r="N94" s="2">
        <v>0</v>
      </c>
      <c r="O94" s="2">
        <v>0</v>
      </c>
      <c r="P94" s="2">
        <v>0</v>
      </c>
      <c r="Q94" s="2">
        <v>0</v>
      </c>
      <c r="R94">
        <v>0</v>
      </c>
      <c r="S94">
        <v>0</v>
      </c>
      <c r="T94" s="2">
        <v>0</v>
      </c>
      <c r="U94" s="2">
        <v>0</v>
      </c>
      <c r="V94" s="2">
        <v>0</v>
      </c>
      <c r="W94" s="2">
        <v>0</v>
      </c>
      <c r="X94">
        <v>0</v>
      </c>
      <c r="Y94">
        <v>-1</v>
      </c>
      <c r="Z94">
        <v>-1</v>
      </c>
      <c r="AA94" s="2">
        <v>0</v>
      </c>
      <c r="AB94">
        <v>-1</v>
      </c>
      <c r="AC94">
        <v>-1</v>
      </c>
      <c r="AD94" s="2">
        <v>0</v>
      </c>
      <c r="AE94">
        <v>-1</v>
      </c>
      <c r="AF94">
        <v>-1</v>
      </c>
      <c r="AH94" s="7">
        <f>SBC!D93</f>
        <v>0</v>
      </c>
      <c r="AI94" s="7">
        <f t="shared" si="18"/>
        <v>33.999999999999986</v>
      </c>
      <c r="AJ94" s="7">
        <f t="shared" si="13"/>
        <v>0</v>
      </c>
      <c r="AK94" s="7">
        <f t="shared" si="19"/>
        <v>34.153654000000003</v>
      </c>
      <c r="AL94" s="7">
        <f t="shared" si="14"/>
        <v>0.15365400000001728</v>
      </c>
      <c r="AM94">
        <f>SBC!K93</f>
        <v>0</v>
      </c>
      <c r="AN94">
        <f t="shared" si="15"/>
        <v>0</v>
      </c>
      <c r="AO94">
        <f t="shared" si="16"/>
        <v>0.15000000000000244</v>
      </c>
      <c r="AP94">
        <f t="shared" si="17"/>
        <v>0.15365400000000115</v>
      </c>
      <c r="AQ94">
        <f>SBC!I93</f>
        <v>0</v>
      </c>
      <c r="AR94">
        <f t="shared" si="12"/>
        <v>0</v>
      </c>
    </row>
    <row r="95" spans="1:44" x14ac:dyDescent="0.3">
      <c r="A95">
        <v>93</v>
      </c>
      <c r="B95">
        <v>92</v>
      </c>
      <c r="C95">
        <v>93</v>
      </c>
      <c r="D95">
        <v>1</v>
      </c>
      <c r="E95">
        <v>2147483647</v>
      </c>
      <c r="F95">
        <v>0</v>
      </c>
      <c r="G95">
        <v>1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 s="2">
        <v>0</v>
      </c>
      <c r="O95" s="2">
        <v>0</v>
      </c>
      <c r="P95" s="2">
        <v>0</v>
      </c>
      <c r="Q95" s="2">
        <v>0</v>
      </c>
      <c r="R95">
        <v>0</v>
      </c>
      <c r="S95">
        <v>0</v>
      </c>
      <c r="T95" s="2">
        <v>0</v>
      </c>
      <c r="U95" s="2">
        <v>0</v>
      </c>
      <c r="V95" s="2">
        <v>0</v>
      </c>
      <c r="W95" s="2">
        <v>0</v>
      </c>
      <c r="X95">
        <v>0</v>
      </c>
      <c r="Y95">
        <v>-1</v>
      </c>
      <c r="Z95">
        <v>-1</v>
      </c>
      <c r="AA95">
        <v>0</v>
      </c>
      <c r="AB95">
        <v>-1</v>
      </c>
      <c r="AC95">
        <v>-1</v>
      </c>
      <c r="AD95">
        <v>0</v>
      </c>
      <c r="AE95">
        <v>-1</v>
      </c>
      <c r="AF95">
        <v>-1</v>
      </c>
      <c r="AH95" s="7">
        <f>SBC!D94</f>
        <v>0</v>
      </c>
      <c r="AI95" s="7">
        <f t="shared" si="18"/>
        <v>33.999999999999986</v>
      </c>
      <c r="AJ95" s="7">
        <f t="shared" si="13"/>
        <v>0</v>
      </c>
      <c r="AK95" s="7">
        <f t="shared" si="19"/>
        <v>34.153654000000003</v>
      </c>
      <c r="AL95" s="7">
        <f t="shared" si="14"/>
        <v>0.15365400000001728</v>
      </c>
      <c r="AM95">
        <f>SBC!K94</f>
        <v>0</v>
      </c>
      <c r="AN95">
        <f t="shared" si="15"/>
        <v>0</v>
      </c>
      <c r="AO95">
        <f t="shared" si="16"/>
        <v>0.15000000000000244</v>
      </c>
      <c r="AP95">
        <f t="shared" si="17"/>
        <v>0.15365400000000115</v>
      </c>
      <c r="AQ95">
        <f>SBC!I94</f>
        <v>0</v>
      </c>
      <c r="AR95">
        <f t="shared" si="12"/>
        <v>0</v>
      </c>
    </row>
    <row r="96" spans="1:44" x14ac:dyDescent="0.3">
      <c r="A96">
        <v>94</v>
      </c>
      <c r="B96">
        <v>93</v>
      </c>
      <c r="C96">
        <v>94</v>
      </c>
      <c r="D96">
        <v>1</v>
      </c>
      <c r="E96">
        <v>2147483647</v>
      </c>
      <c r="F96">
        <v>0</v>
      </c>
      <c r="G96">
        <v>1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 s="2">
        <v>0</v>
      </c>
      <c r="O96" s="2">
        <v>0</v>
      </c>
      <c r="P96" s="2">
        <v>0</v>
      </c>
      <c r="Q96" s="2">
        <v>0</v>
      </c>
      <c r="R96">
        <v>0</v>
      </c>
      <c r="S96">
        <v>0</v>
      </c>
      <c r="T96" s="2">
        <v>0</v>
      </c>
      <c r="U96" s="2">
        <v>0</v>
      </c>
      <c r="V96" s="2">
        <v>0</v>
      </c>
      <c r="W96" s="2">
        <v>0</v>
      </c>
      <c r="X96">
        <v>0</v>
      </c>
      <c r="Y96">
        <v>-1</v>
      </c>
      <c r="Z96">
        <v>-1</v>
      </c>
      <c r="AA96">
        <v>0</v>
      </c>
      <c r="AB96">
        <v>-1</v>
      </c>
      <c r="AC96">
        <v>-1</v>
      </c>
      <c r="AD96">
        <v>0</v>
      </c>
      <c r="AE96">
        <v>-1</v>
      </c>
      <c r="AF96">
        <v>-1</v>
      </c>
      <c r="AH96" s="7">
        <f>SBC!D95</f>
        <v>0</v>
      </c>
      <c r="AI96" s="7">
        <f t="shared" si="18"/>
        <v>33.999999999999986</v>
      </c>
      <c r="AJ96" s="7">
        <f t="shared" si="13"/>
        <v>0</v>
      </c>
      <c r="AK96" s="7">
        <f t="shared" si="19"/>
        <v>34.153654000000003</v>
      </c>
      <c r="AL96" s="7">
        <f t="shared" si="14"/>
        <v>0.15365400000001728</v>
      </c>
      <c r="AM96">
        <f>SBC!K95</f>
        <v>0</v>
      </c>
      <c r="AN96">
        <f t="shared" si="15"/>
        <v>0</v>
      </c>
      <c r="AO96">
        <f t="shared" si="16"/>
        <v>0.15000000000000244</v>
      </c>
      <c r="AP96">
        <f t="shared" si="17"/>
        <v>0.15365400000000115</v>
      </c>
      <c r="AQ96">
        <f>SBC!I95</f>
        <v>0</v>
      </c>
      <c r="AR96">
        <f t="shared" si="12"/>
        <v>0</v>
      </c>
    </row>
    <row r="97" spans="1:44" x14ac:dyDescent="0.3">
      <c r="A97">
        <v>95</v>
      </c>
      <c r="B97">
        <v>94</v>
      </c>
      <c r="C97">
        <v>95</v>
      </c>
      <c r="D97">
        <v>1</v>
      </c>
      <c r="E97">
        <v>2147483647</v>
      </c>
      <c r="F97">
        <v>0</v>
      </c>
      <c r="G97">
        <v>1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 s="2">
        <v>0</v>
      </c>
      <c r="O97" s="2">
        <v>0</v>
      </c>
      <c r="P97" s="2">
        <v>0</v>
      </c>
      <c r="Q97" s="2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-1</v>
      </c>
      <c r="Z97">
        <v>-1</v>
      </c>
      <c r="AA97">
        <v>0</v>
      </c>
      <c r="AB97">
        <v>-1</v>
      </c>
      <c r="AC97">
        <v>-1</v>
      </c>
      <c r="AD97" s="2">
        <v>0</v>
      </c>
      <c r="AE97">
        <v>-1</v>
      </c>
      <c r="AF97">
        <v>-1</v>
      </c>
      <c r="AH97" s="7">
        <f>SBC!D96</f>
        <v>0</v>
      </c>
      <c r="AI97" s="7">
        <f t="shared" si="18"/>
        <v>33.999999999999986</v>
      </c>
      <c r="AJ97" s="7">
        <f t="shared" si="13"/>
        <v>0</v>
      </c>
      <c r="AK97" s="7">
        <f t="shared" si="19"/>
        <v>34.153654000000003</v>
      </c>
      <c r="AL97" s="7">
        <f t="shared" si="14"/>
        <v>0.15365400000001728</v>
      </c>
      <c r="AM97">
        <f>SBC!K96</f>
        <v>0</v>
      </c>
      <c r="AN97">
        <f t="shared" si="15"/>
        <v>0</v>
      </c>
      <c r="AO97">
        <f t="shared" si="16"/>
        <v>0.15000000000000244</v>
      </c>
      <c r="AP97">
        <f t="shared" si="17"/>
        <v>0.15365400000000115</v>
      </c>
      <c r="AQ97">
        <f>SBC!I96</f>
        <v>0</v>
      </c>
      <c r="AR97">
        <f t="shared" si="12"/>
        <v>0</v>
      </c>
    </row>
    <row r="98" spans="1:44" x14ac:dyDescent="0.3">
      <c r="A98">
        <v>96</v>
      </c>
      <c r="B98">
        <v>95</v>
      </c>
      <c r="C98">
        <v>96</v>
      </c>
      <c r="D98">
        <v>1</v>
      </c>
      <c r="E98">
        <v>2147483647</v>
      </c>
      <c r="F98">
        <v>0</v>
      </c>
      <c r="G98">
        <v>1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-1</v>
      </c>
      <c r="Z98">
        <v>-1</v>
      </c>
      <c r="AA98">
        <v>0</v>
      </c>
      <c r="AB98">
        <v>-1</v>
      </c>
      <c r="AC98">
        <v>-1</v>
      </c>
      <c r="AD98">
        <v>0</v>
      </c>
      <c r="AE98">
        <v>-1</v>
      </c>
      <c r="AF98">
        <v>-1</v>
      </c>
      <c r="AH98" s="7">
        <f>SBC!D97</f>
        <v>0</v>
      </c>
      <c r="AI98" s="7">
        <f t="shared" si="18"/>
        <v>33.999999999999986</v>
      </c>
      <c r="AJ98" s="7">
        <f t="shared" si="13"/>
        <v>0</v>
      </c>
      <c r="AK98" s="7">
        <f t="shared" si="19"/>
        <v>34.153654000000003</v>
      </c>
      <c r="AL98" s="7">
        <f t="shared" si="14"/>
        <v>0.15365400000001728</v>
      </c>
      <c r="AM98">
        <f>SBC!K97</f>
        <v>0</v>
      </c>
      <c r="AN98">
        <f t="shared" si="15"/>
        <v>0</v>
      </c>
      <c r="AO98">
        <f t="shared" si="16"/>
        <v>0.15000000000000244</v>
      </c>
      <c r="AP98">
        <f t="shared" si="17"/>
        <v>0.15365400000000115</v>
      </c>
      <c r="AQ98">
        <f>SBC!I97</f>
        <v>0</v>
      </c>
      <c r="AR98">
        <f t="shared" si="12"/>
        <v>0</v>
      </c>
    </row>
    <row r="99" spans="1:44" x14ac:dyDescent="0.3">
      <c r="A99">
        <v>97</v>
      </c>
      <c r="B99">
        <v>96</v>
      </c>
      <c r="C99">
        <v>97</v>
      </c>
      <c r="D99">
        <v>1</v>
      </c>
      <c r="E99">
        <v>2147483647</v>
      </c>
      <c r="F99">
        <v>0</v>
      </c>
      <c r="G99">
        <v>1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-1</v>
      </c>
      <c r="Z99">
        <v>-1</v>
      </c>
      <c r="AA99">
        <v>0</v>
      </c>
      <c r="AB99">
        <v>-1</v>
      </c>
      <c r="AC99">
        <v>-1</v>
      </c>
      <c r="AD99">
        <v>0</v>
      </c>
      <c r="AE99">
        <v>-1</v>
      </c>
      <c r="AF99">
        <v>-1</v>
      </c>
      <c r="AH99" s="7">
        <f>SBC!D98</f>
        <v>0</v>
      </c>
      <c r="AI99" s="7">
        <f t="shared" si="18"/>
        <v>33.999999999999986</v>
      </c>
      <c r="AJ99" s="7">
        <f t="shared" si="13"/>
        <v>0</v>
      </c>
      <c r="AK99" s="7">
        <f t="shared" si="19"/>
        <v>34.153654000000003</v>
      </c>
      <c r="AL99" s="7">
        <f t="shared" si="14"/>
        <v>0.15365400000001728</v>
      </c>
      <c r="AM99">
        <f>SBC!K98</f>
        <v>0</v>
      </c>
      <c r="AN99">
        <f t="shared" ref="AN99:AN130" si="20">ABS(AJ99-AM99)</f>
        <v>0</v>
      </c>
      <c r="AO99">
        <f t="shared" si="16"/>
        <v>0.15000000000000244</v>
      </c>
      <c r="AP99">
        <f t="shared" si="17"/>
        <v>0.15365400000000115</v>
      </c>
      <c r="AQ99">
        <f>SBC!I98</f>
        <v>0</v>
      </c>
      <c r="AR99">
        <f t="shared" si="12"/>
        <v>0</v>
      </c>
    </row>
    <row r="100" spans="1:44" x14ac:dyDescent="0.3">
      <c r="A100">
        <v>98</v>
      </c>
      <c r="B100">
        <v>97</v>
      </c>
      <c r="C100">
        <v>98</v>
      </c>
      <c r="D100">
        <v>1</v>
      </c>
      <c r="E100">
        <v>2147483647</v>
      </c>
      <c r="F100">
        <v>0</v>
      </c>
      <c r="G100">
        <v>1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-1</v>
      </c>
      <c r="Z100">
        <v>-1</v>
      </c>
      <c r="AA100">
        <v>0</v>
      </c>
      <c r="AB100">
        <v>-1</v>
      </c>
      <c r="AC100">
        <v>-1</v>
      </c>
      <c r="AD100">
        <v>0</v>
      </c>
      <c r="AE100">
        <v>-1</v>
      </c>
      <c r="AF100">
        <v>-1</v>
      </c>
      <c r="AH100" s="7">
        <f>SBC!D99</f>
        <v>0</v>
      </c>
      <c r="AI100" s="7">
        <f t="shared" si="18"/>
        <v>33.999999999999986</v>
      </c>
      <c r="AJ100" s="7">
        <f t="shared" si="13"/>
        <v>0</v>
      </c>
      <c r="AK100" s="7">
        <f t="shared" si="19"/>
        <v>34.153654000000003</v>
      </c>
      <c r="AL100" s="7">
        <f t="shared" si="14"/>
        <v>0.15365400000001728</v>
      </c>
      <c r="AM100">
        <f>SBC!K99</f>
        <v>0</v>
      </c>
      <c r="AN100">
        <f t="shared" si="20"/>
        <v>0</v>
      </c>
      <c r="AO100">
        <f t="shared" si="16"/>
        <v>0.15000000000000244</v>
      </c>
      <c r="AP100">
        <f t="shared" si="17"/>
        <v>0.15365400000000115</v>
      </c>
      <c r="AQ100">
        <f>SBC!I99</f>
        <v>0</v>
      </c>
      <c r="AR100">
        <f t="shared" si="12"/>
        <v>0</v>
      </c>
    </row>
    <row r="101" spans="1:44" x14ac:dyDescent="0.3">
      <c r="A101">
        <v>99</v>
      </c>
      <c r="B101">
        <v>98</v>
      </c>
      <c r="C101">
        <v>99</v>
      </c>
      <c r="D101">
        <v>1</v>
      </c>
      <c r="E101">
        <v>2147483647</v>
      </c>
      <c r="F101">
        <v>0</v>
      </c>
      <c r="G101">
        <v>1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-1</v>
      </c>
      <c r="Z101">
        <v>-1</v>
      </c>
      <c r="AA101">
        <v>0</v>
      </c>
      <c r="AB101">
        <v>-1</v>
      </c>
      <c r="AC101">
        <v>-1</v>
      </c>
      <c r="AD101">
        <v>0</v>
      </c>
      <c r="AE101">
        <v>-1</v>
      </c>
      <c r="AF101">
        <v>-1</v>
      </c>
      <c r="AH101" s="7">
        <f>SBC!D100</f>
        <v>0</v>
      </c>
      <c r="AI101" s="7">
        <f t="shared" si="18"/>
        <v>33.999999999999986</v>
      </c>
      <c r="AJ101" s="7">
        <f t="shared" si="13"/>
        <v>0</v>
      </c>
      <c r="AK101" s="7">
        <f t="shared" si="19"/>
        <v>34.153654000000003</v>
      </c>
      <c r="AL101" s="7">
        <f t="shared" si="14"/>
        <v>0.15365400000001728</v>
      </c>
      <c r="AM101">
        <f>SBC!K100</f>
        <v>0</v>
      </c>
      <c r="AN101">
        <f t="shared" si="20"/>
        <v>0</v>
      </c>
      <c r="AO101">
        <f t="shared" si="16"/>
        <v>0.15000000000000244</v>
      </c>
      <c r="AP101">
        <f t="shared" si="17"/>
        <v>0.15365400000000115</v>
      </c>
      <c r="AQ101">
        <f>SBC!I100</f>
        <v>0</v>
      </c>
      <c r="AR101">
        <f t="shared" si="12"/>
        <v>0</v>
      </c>
    </row>
    <row r="102" spans="1:44" x14ac:dyDescent="0.3">
      <c r="A102">
        <v>100</v>
      </c>
      <c r="B102">
        <v>99</v>
      </c>
      <c r="C102">
        <v>100</v>
      </c>
      <c r="D102">
        <v>1</v>
      </c>
      <c r="E102">
        <v>2147483647</v>
      </c>
      <c r="F102">
        <v>0</v>
      </c>
      <c r="G102">
        <v>1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-1</v>
      </c>
      <c r="Z102">
        <v>-1</v>
      </c>
      <c r="AA102">
        <v>0</v>
      </c>
      <c r="AB102">
        <v>-1</v>
      </c>
      <c r="AC102">
        <v>-1</v>
      </c>
      <c r="AD102">
        <v>0</v>
      </c>
      <c r="AE102">
        <v>-1</v>
      </c>
      <c r="AF102">
        <v>-1</v>
      </c>
      <c r="AH102" s="7">
        <f>SBC!D101</f>
        <v>0</v>
      </c>
      <c r="AI102" s="7">
        <f t="shared" si="18"/>
        <v>33.999999999999986</v>
      </c>
      <c r="AJ102" s="7">
        <f t="shared" si="13"/>
        <v>0</v>
      </c>
      <c r="AK102" s="7">
        <f t="shared" si="19"/>
        <v>34.153654000000003</v>
      </c>
      <c r="AL102" s="7">
        <f t="shared" si="14"/>
        <v>0.15365400000001728</v>
      </c>
      <c r="AM102">
        <f>SBC!K101</f>
        <v>0</v>
      </c>
      <c r="AN102">
        <f t="shared" si="20"/>
        <v>0</v>
      </c>
      <c r="AO102">
        <f t="shared" si="16"/>
        <v>0.15000000000000244</v>
      </c>
      <c r="AP102">
        <f t="shared" si="17"/>
        <v>0.15365400000000115</v>
      </c>
      <c r="AQ102">
        <f>SBC!I101</f>
        <v>0</v>
      </c>
      <c r="AR102">
        <f t="shared" si="12"/>
        <v>0</v>
      </c>
    </row>
    <row r="103" spans="1:44" x14ac:dyDescent="0.3">
      <c r="A103" t="s">
        <v>44</v>
      </c>
      <c r="AN103">
        <f>SUM(AN2:AN102)</f>
        <v>2.5109980000000007</v>
      </c>
    </row>
    <row r="104" spans="1:44" x14ac:dyDescent="0.3">
      <c r="A104" t="s">
        <v>45</v>
      </c>
    </row>
    <row r="105" spans="1:44" x14ac:dyDescent="0.3">
      <c r="A105" t="s">
        <v>46</v>
      </c>
    </row>
    <row r="106" spans="1:44" x14ac:dyDescent="0.3">
      <c r="A106" t="s">
        <v>47</v>
      </c>
    </row>
  </sheetData>
  <pageMargins left="0.7" right="0.7" top="0.78740157499999996" bottom="0.78740157499999996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Diagramme</vt:lpstr>
      </vt:variant>
      <vt:variant>
        <vt:i4>11</vt:i4>
      </vt:variant>
    </vt:vector>
  </HeadingPairs>
  <TitlesOfParts>
    <vt:vector size="13" baseType="lpstr">
      <vt:lpstr>SBC</vt:lpstr>
      <vt:lpstr>Simulation</vt:lpstr>
      <vt:lpstr>Input</vt:lpstr>
      <vt:lpstr>L^Q</vt:lpstr>
      <vt:lpstr>L^S</vt:lpstr>
      <vt:lpstr>L^Q, L^S</vt:lpstr>
      <vt:lpstr>X</vt:lpstr>
      <vt:lpstr>D</vt:lpstr>
      <vt:lpstr>X, D</vt:lpstr>
      <vt:lpstr>X (kum.)</vt:lpstr>
      <vt:lpstr>D (kum.)</vt:lpstr>
      <vt:lpstr>I</vt:lpstr>
      <vt:lpstr>rho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support</dc:creator>
  <cp:lastModifiedBy>Windows-Benutzer</cp:lastModifiedBy>
  <dcterms:created xsi:type="dcterms:W3CDTF">2014-11-24T17:41:58Z</dcterms:created>
  <dcterms:modified xsi:type="dcterms:W3CDTF">2019-02-06T15:12:01Z</dcterms:modified>
</cp:coreProperties>
</file>