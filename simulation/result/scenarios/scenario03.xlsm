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efaultThemeVersion="124226"/>
  <bookViews>
    <workbookView xWindow="120" yWindow="72" windowWidth="28512" windowHeight="11316"/>
  </bookViews>
  <sheets>
    <sheet name="SBC" sheetId="1" r:id="rId1"/>
    <sheet name="Simulation" sheetId="2" r:id="rId2"/>
    <sheet name="Input" sheetId="22" r:id="rId3"/>
    <sheet name="L^Q" sheetId="11" r:id="rId4"/>
    <sheet name="L^S" sheetId="12" r:id="rId5"/>
    <sheet name="L^Q, L^S" sheetId="13" r:id="rId6"/>
    <sheet name="X" sheetId="15" r:id="rId7"/>
    <sheet name="D" sheetId="16" r:id="rId8"/>
    <sheet name="X, D" sheetId="14" r:id="rId9"/>
    <sheet name="X (kum.)" sheetId="19" r:id="rId10"/>
    <sheet name="D (kum.)" sheetId="18" r:id="rId11"/>
    <sheet name="I" sheetId="17" r:id="rId12"/>
    <sheet name="rho" sheetId="21" r:id="rId13"/>
  </sheets>
  <calcPr calcId="145621"/>
</workbook>
</file>

<file path=xl/calcChain.xml><?xml version="1.0" encoding="utf-8"?>
<calcChain xmlns="http://schemas.openxmlformats.org/spreadsheetml/2006/main">
  <c r="AH3" i="2" l="1"/>
  <c r="AI3" i="2" s="1"/>
  <c r="AJ3" i="2"/>
  <c r="AK3" i="2" s="1"/>
  <c r="AH4" i="2"/>
  <c r="AJ4" i="2"/>
  <c r="AH5" i="2"/>
  <c r="AJ5" i="2"/>
  <c r="AH6" i="2"/>
  <c r="AJ6" i="2"/>
  <c r="AH7" i="2"/>
  <c r="AJ7" i="2"/>
  <c r="AH8" i="2"/>
  <c r="AJ8" i="2"/>
  <c r="AH9" i="2"/>
  <c r="AJ9" i="2"/>
  <c r="AH10" i="2"/>
  <c r="AJ10" i="2"/>
  <c r="AH11" i="2"/>
  <c r="AJ11" i="2"/>
  <c r="AH12" i="2"/>
  <c r="AJ12" i="2"/>
  <c r="AH13" i="2"/>
  <c r="AJ13" i="2"/>
  <c r="AH14" i="2"/>
  <c r="AJ14" i="2"/>
  <c r="AH15" i="2"/>
  <c r="AJ15" i="2"/>
  <c r="AH16" i="2"/>
  <c r="AJ16" i="2"/>
  <c r="AH17" i="2"/>
  <c r="AJ17" i="2"/>
  <c r="AH18" i="2"/>
  <c r="AJ18" i="2"/>
  <c r="AH19" i="2"/>
  <c r="AJ19" i="2"/>
  <c r="AH20" i="2"/>
  <c r="AJ20" i="2"/>
  <c r="AH21" i="2"/>
  <c r="AJ21" i="2"/>
  <c r="AH22" i="2"/>
  <c r="AJ22" i="2"/>
  <c r="AH23" i="2"/>
  <c r="AJ23" i="2"/>
  <c r="AH24" i="2"/>
  <c r="AJ24" i="2"/>
  <c r="AH25" i="2"/>
  <c r="AJ25" i="2"/>
  <c r="AH26" i="2"/>
  <c r="AJ26" i="2"/>
  <c r="AH27" i="2"/>
  <c r="AJ27" i="2"/>
  <c r="AH28" i="2"/>
  <c r="AJ28" i="2"/>
  <c r="AH29" i="2"/>
  <c r="AJ29" i="2"/>
  <c r="AH30" i="2"/>
  <c r="AJ30" i="2"/>
  <c r="AH31" i="2"/>
  <c r="AJ31" i="2"/>
  <c r="AH32" i="2"/>
  <c r="AJ32" i="2"/>
  <c r="AH33" i="2"/>
  <c r="AJ33" i="2"/>
  <c r="AH34" i="2"/>
  <c r="AJ34" i="2"/>
  <c r="AH35" i="2"/>
  <c r="AJ35" i="2"/>
  <c r="AH36" i="2"/>
  <c r="AJ36" i="2"/>
  <c r="AH37" i="2"/>
  <c r="AJ37" i="2"/>
  <c r="AH38" i="2"/>
  <c r="AJ38" i="2"/>
  <c r="AH39" i="2"/>
  <c r="AJ39" i="2"/>
  <c r="AH40" i="2"/>
  <c r="AJ40" i="2"/>
  <c r="AH41" i="2"/>
  <c r="AJ41" i="2"/>
  <c r="AH42" i="2"/>
  <c r="AJ42" i="2"/>
  <c r="AH43" i="2"/>
  <c r="AJ43" i="2"/>
  <c r="AH44" i="2"/>
  <c r="AJ44" i="2"/>
  <c r="AH45" i="2"/>
  <c r="AJ45" i="2"/>
  <c r="AH46" i="2"/>
  <c r="AJ46" i="2"/>
  <c r="AH47" i="2"/>
  <c r="AJ47" i="2"/>
  <c r="AH48" i="2"/>
  <c r="AJ48" i="2"/>
  <c r="AH49" i="2"/>
  <c r="AJ49" i="2"/>
  <c r="AH50" i="2"/>
  <c r="AJ50" i="2"/>
  <c r="AH51" i="2"/>
  <c r="AJ51" i="2"/>
  <c r="AH52" i="2"/>
  <c r="AJ52" i="2"/>
  <c r="AH53" i="2"/>
  <c r="AJ53" i="2"/>
  <c r="AH54" i="2"/>
  <c r="AJ54" i="2"/>
  <c r="AH55" i="2"/>
  <c r="AJ55" i="2"/>
  <c r="AH56" i="2"/>
  <c r="AJ56" i="2"/>
  <c r="AH57" i="2"/>
  <c r="AJ57" i="2"/>
  <c r="AH58" i="2"/>
  <c r="AJ58" i="2"/>
  <c r="AH59" i="2"/>
  <c r="AJ59" i="2"/>
  <c r="AH60" i="2"/>
  <c r="AJ60" i="2"/>
  <c r="AH61" i="2"/>
  <c r="AJ61" i="2"/>
  <c r="AH62" i="2"/>
  <c r="AJ62" i="2"/>
  <c r="AH63" i="2"/>
  <c r="AJ63" i="2"/>
  <c r="AH64" i="2"/>
  <c r="AJ64" i="2"/>
  <c r="AH65" i="2"/>
  <c r="AJ65" i="2"/>
  <c r="AH66" i="2"/>
  <c r="AJ66" i="2"/>
  <c r="AH67" i="2"/>
  <c r="AJ67" i="2"/>
  <c r="AH68" i="2"/>
  <c r="AJ68" i="2"/>
  <c r="AH69" i="2"/>
  <c r="AJ69" i="2"/>
  <c r="AH70" i="2"/>
  <c r="AJ70" i="2"/>
  <c r="AH71" i="2"/>
  <c r="AJ71" i="2"/>
  <c r="AH72" i="2"/>
  <c r="AJ72" i="2"/>
  <c r="AH73" i="2"/>
  <c r="AJ73" i="2"/>
  <c r="AH74" i="2"/>
  <c r="AJ74" i="2"/>
  <c r="AH75" i="2"/>
  <c r="AJ75" i="2"/>
  <c r="AH76" i="2"/>
  <c r="AJ76" i="2"/>
  <c r="AH77" i="2"/>
  <c r="AJ77" i="2"/>
  <c r="AH78" i="2"/>
  <c r="AJ78" i="2"/>
  <c r="AH79" i="2"/>
  <c r="AJ79" i="2"/>
  <c r="AH80" i="2"/>
  <c r="AJ80" i="2"/>
  <c r="AH81" i="2"/>
  <c r="AJ81" i="2"/>
  <c r="AH82" i="2"/>
  <c r="AJ82" i="2"/>
  <c r="AH83" i="2"/>
  <c r="AJ83" i="2"/>
  <c r="AH84" i="2"/>
  <c r="AJ84" i="2"/>
  <c r="AH85" i="2"/>
  <c r="AJ85" i="2"/>
  <c r="AH86" i="2"/>
  <c r="AJ86" i="2"/>
  <c r="AH87" i="2"/>
  <c r="AJ87" i="2"/>
  <c r="AH88" i="2"/>
  <c r="AJ88" i="2"/>
  <c r="AH89" i="2"/>
  <c r="AJ89" i="2"/>
  <c r="AH90" i="2"/>
  <c r="AJ90" i="2"/>
  <c r="AH91" i="2"/>
  <c r="AJ91" i="2"/>
  <c r="AH92" i="2"/>
  <c r="AJ92" i="2"/>
  <c r="AH93" i="2"/>
  <c r="AJ93" i="2"/>
  <c r="AH94" i="2"/>
  <c r="AJ94" i="2"/>
  <c r="AH95" i="2"/>
  <c r="AJ95" i="2"/>
  <c r="AH96" i="2"/>
  <c r="AJ96" i="2"/>
  <c r="AH97" i="2"/>
  <c r="AJ97" i="2"/>
  <c r="AH98" i="2"/>
  <c r="AJ98" i="2"/>
  <c r="AH99" i="2"/>
  <c r="AJ99" i="2"/>
  <c r="AH100" i="2"/>
  <c r="AJ100" i="2"/>
  <c r="AH101" i="2"/>
  <c r="AJ101" i="2"/>
  <c r="AH102" i="2"/>
  <c r="AJ102" i="2"/>
  <c r="AI4" i="2" l="1"/>
  <c r="AI5" i="2" s="1"/>
  <c r="AI6" i="2" s="1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L3" i="2"/>
  <c r="AK4" i="2"/>
  <c r="Q2" i="1"/>
  <c r="Q3" i="1" s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P2" i="1"/>
  <c r="P3" i="1" s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AL4" i="2" l="1"/>
  <c r="AK5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2" i="1"/>
  <c r="AL5" i="2" l="1"/>
  <c r="AK6" i="2"/>
  <c r="AL6" i="2" l="1"/>
  <c r="AK7" i="2"/>
  <c r="AL7" i="2" l="1"/>
  <c r="AK8" i="2"/>
  <c r="AL8" i="2" l="1"/>
  <c r="AK9" i="2"/>
  <c r="AL9" i="2" l="1"/>
  <c r="AK10" i="2"/>
  <c r="AL10" i="2" l="1"/>
  <c r="AK11" i="2"/>
  <c r="AL11" i="2" l="1"/>
  <c r="AK12" i="2"/>
  <c r="AL12" i="2" l="1"/>
  <c r="AK13" i="2"/>
  <c r="AL13" i="2" l="1"/>
  <c r="AK14" i="2"/>
  <c r="AL14" i="2" l="1"/>
  <c r="AK15" i="2"/>
  <c r="AK16" i="2" l="1"/>
  <c r="AL15" i="2"/>
  <c r="AL16" i="2" l="1"/>
  <c r="AK17" i="2"/>
  <c r="AL17" i="2" l="1"/>
  <c r="AK18" i="2"/>
  <c r="AL18" i="2" l="1"/>
  <c r="AK19" i="2"/>
  <c r="AL19" i="2" l="1"/>
  <c r="AK20" i="2"/>
  <c r="AL20" i="2" l="1"/>
  <c r="AK21" i="2"/>
  <c r="AK22" i="2" l="1"/>
  <c r="AL21" i="2"/>
  <c r="AL22" i="2" l="1"/>
  <c r="AK23" i="2"/>
  <c r="AL23" i="2" l="1"/>
  <c r="AK24" i="2"/>
  <c r="AL24" i="2" l="1"/>
  <c r="AK25" i="2"/>
  <c r="AL25" i="2" l="1"/>
  <c r="AK26" i="2"/>
  <c r="AL26" i="2" l="1"/>
  <c r="AK27" i="2"/>
  <c r="AL27" i="2" l="1"/>
  <c r="AK28" i="2"/>
  <c r="AL28" i="2" l="1"/>
  <c r="AK29" i="2"/>
  <c r="AL29" i="2" l="1"/>
  <c r="AK30" i="2"/>
  <c r="AL30" i="2" l="1"/>
  <c r="AK31" i="2"/>
  <c r="AL31" i="2" l="1"/>
  <c r="AK32" i="2"/>
  <c r="AL32" i="2" l="1"/>
  <c r="AK33" i="2"/>
  <c r="AL33" i="2" l="1"/>
  <c r="AK34" i="2"/>
  <c r="AL34" i="2" l="1"/>
  <c r="AK35" i="2"/>
  <c r="AL35" i="2" l="1"/>
  <c r="AK36" i="2"/>
  <c r="AL36" i="2" l="1"/>
  <c r="AK37" i="2"/>
  <c r="AK38" i="2" l="1"/>
  <c r="AL37" i="2"/>
  <c r="AL38" i="2" l="1"/>
  <c r="AK39" i="2"/>
  <c r="AL39" i="2" l="1"/>
  <c r="AK40" i="2"/>
  <c r="AL40" i="2" l="1"/>
  <c r="AK41" i="2"/>
  <c r="AL41" i="2" l="1"/>
  <c r="AK42" i="2"/>
  <c r="AL42" i="2" l="1"/>
  <c r="AK43" i="2"/>
  <c r="AL43" i="2" l="1"/>
  <c r="AK44" i="2"/>
  <c r="AL44" i="2" l="1"/>
  <c r="AK45" i="2"/>
  <c r="AK46" i="2" l="1"/>
  <c r="AL45" i="2"/>
  <c r="AL46" i="2" l="1"/>
  <c r="AK47" i="2"/>
  <c r="AL47" i="2" l="1"/>
  <c r="AK48" i="2"/>
  <c r="AL48" i="2" l="1"/>
  <c r="AK49" i="2"/>
  <c r="AL49" i="2" l="1"/>
  <c r="AK50" i="2"/>
  <c r="AL50" i="2" l="1"/>
  <c r="AK51" i="2"/>
  <c r="AL51" i="2" l="1"/>
  <c r="AK52" i="2"/>
  <c r="AL52" i="2" l="1"/>
  <c r="AK53" i="2"/>
  <c r="AL53" i="2" l="1"/>
  <c r="AK54" i="2"/>
  <c r="AL54" i="2" l="1"/>
  <c r="AK55" i="2"/>
  <c r="AL55" i="2" l="1"/>
  <c r="AK56" i="2"/>
  <c r="AL56" i="2" l="1"/>
  <c r="AK57" i="2"/>
  <c r="AL57" i="2" l="1"/>
  <c r="AK58" i="2"/>
  <c r="AL58" i="2" l="1"/>
  <c r="AK59" i="2"/>
  <c r="AL59" i="2" l="1"/>
  <c r="AK60" i="2"/>
  <c r="AL60" i="2" l="1"/>
  <c r="AK61" i="2"/>
  <c r="AK62" i="2" l="1"/>
  <c r="AL61" i="2"/>
  <c r="AL62" i="2" l="1"/>
  <c r="AK63" i="2"/>
  <c r="AL63" i="2" l="1"/>
  <c r="AK64" i="2"/>
  <c r="AL64" i="2" l="1"/>
  <c r="AK65" i="2"/>
  <c r="AL65" i="2" l="1"/>
  <c r="AK66" i="2"/>
  <c r="AL66" i="2" l="1"/>
  <c r="AK67" i="2"/>
  <c r="AL67" i="2" l="1"/>
  <c r="AK68" i="2"/>
  <c r="AL68" i="2" l="1"/>
  <c r="AK69" i="2"/>
  <c r="AL69" i="2" l="1"/>
  <c r="AK70" i="2"/>
  <c r="AL70" i="2" l="1"/>
  <c r="AK71" i="2"/>
  <c r="AL71" i="2" l="1"/>
  <c r="AK72" i="2"/>
  <c r="AL72" i="2" l="1"/>
  <c r="AK73" i="2"/>
  <c r="AL73" i="2" l="1"/>
  <c r="AK74" i="2"/>
  <c r="AL74" i="2" l="1"/>
  <c r="AK75" i="2"/>
  <c r="AL75" i="2" l="1"/>
  <c r="AK76" i="2"/>
  <c r="AL76" i="2" l="1"/>
  <c r="AK77" i="2"/>
  <c r="AL77" i="2" l="1"/>
  <c r="AK78" i="2"/>
  <c r="AL78" i="2" l="1"/>
  <c r="AK79" i="2"/>
  <c r="AL79" i="2" l="1"/>
  <c r="AK80" i="2"/>
  <c r="AL80" i="2" l="1"/>
  <c r="AK81" i="2"/>
  <c r="AL81" i="2" l="1"/>
  <c r="AK82" i="2"/>
  <c r="AL82" i="2" l="1"/>
  <c r="AK83" i="2"/>
  <c r="AL83" i="2" l="1"/>
  <c r="AK84" i="2"/>
  <c r="AL84" i="2" l="1"/>
  <c r="AK85" i="2"/>
  <c r="AL85" i="2" l="1"/>
  <c r="AK86" i="2"/>
  <c r="AL86" i="2" l="1"/>
  <c r="AK87" i="2"/>
  <c r="AK88" i="2" l="1"/>
  <c r="AL87" i="2"/>
  <c r="AL88" i="2" l="1"/>
  <c r="AK89" i="2"/>
  <c r="AL89" i="2" l="1"/>
  <c r="AK90" i="2"/>
  <c r="AL90" i="2" l="1"/>
  <c r="AK91" i="2"/>
  <c r="AL91" i="2" l="1"/>
  <c r="AK92" i="2"/>
  <c r="AL92" i="2" l="1"/>
  <c r="AK93" i="2"/>
  <c r="AL93" i="2" l="1"/>
  <c r="AK94" i="2"/>
  <c r="AL94" i="2" l="1"/>
  <c r="AK95" i="2"/>
  <c r="AL95" i="2" l="1"/>
  <c r="AK96" i="2"/>
  <c r="AL96" i="2" l="1"/>
  <c r="AK97" i="2"/>
  <c r="AL97" i="2" l="1"/>
  <c r="AK98" i="2"/>
  <c r="AL98" i="2" l="1"/>
  <c r="AK99" i="2"/>
  <c r="AL99" i="2" l="1"/>
  <c r="AK100" i="2"/>
  <c r="AL100" i="2" l="1"/>
  <c r="AK101" i="2"/>
  <c r="AL101" i="2" l="1"/>
  <c r="AK102" i="2"/>
  <c r="AL102" i="2" s="1"/>
</calcChain>
</file>

<file path=xl/comments1.xml><?xml version="1.0" encoding="utf-8"?>
<comments xmlns="http://schemas.openxmlformats.org/spreadsheetml/2006/main">
  <authors>
    <author>support</author>
  </authors>
  <commentList>
    <comment ref="AH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Entnahmen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Abgänge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support:</t>
        </r>
        <r>
          <rPr>
            <sz val="9"/>
            <color indexed="81"/>
            <rFont val="Tahoma"/>
            <family val="2"/>
          </rPr>
          <t xml:space="preserve">
Bestand
</t>
        </r>
      </text>
    </comment>
  </commentList>
</comments>
</file>

<file path=xl/sharedStrings.xml><?xml version="1.0" encoding="utf-8"?>
<sst xmlns="http://schemas.openxmlformats.org/spreadsheetml/2006/main" count="56" uniqueCount="51">
  <si>
    <t>Für Simulator:</t>
  </si>
  <si>
    <t xml:space="preserve">timeStep_bgn </t>
  </si>
  <si>
    <t xml:space="preserve">timeStep_end </t>
  </si>
  <si>
    <t>t</t>
  </si>
  <si>
    <t>D(t)</t>
  </si>
  <si>
    <t>Lambda(t)</t>
  </si>
  <si>
    <t>Lambda^bar(t)</t>
  </si>
  <si>
    <t>b(t)</t>
  </si>
  <si>
    <t>Q(t)/L^Q(t)</t>
  </si>
  <si>
    <t>W(t)/L^S(t)</t>
  </si>
  <si>
    <t>I(t)</t>
  </si>
  <si>
    <t>X(t)</t>
  </si>
  <si>
    <t>D</t>
  </si>
  <si>
    <t>D (kum.)</t>
  </si>
  <si>
    <t>X</t>
  </si>
  <si>
    <t>X (kum.)</t>
  </si>
  <si>
    <t>I</t>
  </si>
  <si>
    <t xml:space="preserve">timeStep </t>
  </si>
  <si>
    <t xml:space="preserve">input_nrServ </t>
  </si>
  <si>
    <t xml:space="preserve">input_maxQueueLength </t>
  </si>
  <si>
    <t xml:space="preserve">input_arrRate </t>
  </si>
  <si>
    <t xml:space="preserve">input_procRate </t>
  </si>
  <si>
    <t xml:space="preserve">nrArr </t>
  </si>
  <si>
    <t xml:space="preserve">nrEffArr </t>
  </si>
  <si>
    <t xml:space="preserve">nrLost </t>
  </si>
  <si>
    <t xml:space="preserve">P_b </t>
  </si>
  <si>
    <t xml:space="preserve">L^Q </t>
  </si>
  <si>
    <t xml:space="preserve">L^Q_CI_halfWidth </t>
  </si>
  <si>
    <t xml:space="preserve">L^S </t>
  </si>
  <si>
    <t xml:space="preserve">L^S_CI_halfWidth </t>
  </si>
  <si>
    <t xml:space="preserve">L^Q_P </t>
  </si>
  <si>
    <t xml:space="preserve">L^Q_P_CI_halfWidth </t>
  </si>
  <si>
    <t xml:space="preserve">L^S_P </t>
  </si>
  <si>
    <t xml:space="preserve">L^S_P_CI_halfWidth </t>
  </si>
  <si>
    <t xml:space="preserve">W^Q_nrEffArr </t>
  </si>
  <si>
    <t xml:space="preserve">W^S_nrEffArr </t>
  </si>
  <si>
    <t xml:space="preserve">nrJobsBgnProc </t>
  </si>
  <si>
    <t xml:space="preserve">W^Q_nrJobsBgnProc </t>
  </si>
  <si>
    <t xml:space="preserve">W^S_nrJobsBgnProc </t>
  </si>
  <si>
    <t xml:space="preserve">nrJobsEndProc </t>
  </si>
  <si>
    <t xml:space="preserve">W^Q_nrJobsEndProc </t>
  </si>
  <si>
    <t xml:space="preserve">W^S_nrJobsEndProc </t>
  </si>
  <si>
    <t xml:space="preserve">NN </t>
  </si>
  <si>
    <t xml:space="preserve">      Evaluation method: Simulation</t>
  </si>
  <si>
    <t xml:space="preserve">      Input: Number of replications: 1000000</t>
  </si>
  <si>
    <t xml:space="preserve">      Input: Confidence level in the calculation of the confidence intervals: 0.01</t>
  </si>
  <si>
    <t xml:space="preserve">utilization </t>
  </si>
  <si>
    <t xml:space="preserve">utilization_P </t>
  </si>
  <si>
    <t xml:space="preserve">utilization_CI_halfWidth </t>
  </si>
  <si>
    <t xml:space="preserve">utilization_P_CI_halfWidth </t>
  </si>
  <si>
    <t>--&gt;   Overall calculation time = 38054 ms = 0.634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</si>
</sst>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6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11" fontId="0" fillId="0" borderId="0" xfId="0" applyNumberFormat="1"/>
    <xf numFmtId="0" fontId="0" fillId="3" borderId="0" xfId="0" applyFill="1"/>
    <xf numFmtId="0" fontId="3" fillId="2" borderId="0" xfId="0" applyFont="1" applyFill="1"/>
    <xf numFmtId="0" fontId="3" fillId="0" borderId="0" xfId="0" applyFont="1"/>
    <xf numFmtId="0" fontId="4" fillId="3" borderId="0" xfId="0" applyFont="1" applyFill="1"/>
    <xf numFmtId="0" fontId="4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chartsheet" Target="chartsheets/sheet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9.xml"/><Relationship Id="rId5" Type="http://schemas.openxmlformats.org/officeDocument/2006/relationships/chartsheet" Target="chartsheets/sheet3.xml"/><Relationship Id="rId15" Type="http://schemas.openxmlformats.org/officeDocument/2006/relationships/styles" Target="styles.xml"/><Relationship Id="rId10" Type="http://schemas.openxmlformats.org/officeDocument/2006/relationships/chartsheet" Target="chartsheets/sheet8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Lambda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SBC!$E$2:$E$102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0.14000000000000001</c:v>
                </c:pt>
                <c:pt idx="18">
                  <c:v>0.57999999999999996</c:v>
                </c:pt>
                <c:pt idx="19">
                  <c:v>0.73</c:v>
                </c:pt>
                <c:pt idx="20">
                  <c:v>0.78</c:v>
                </c:pt>
                <c:pt idx="21">
                  <c:v>0.82</c:v>
                </c:pt>
                <c:pt idx="22">
                  <c:v>0.84</c:v>
                </c:pt>
                <c:pt idx="23">
                  <c:v>0.85</c:v>
                </c:pt>
                <c:pt idx="24">
                  <c:v>0.87</c:v>
                </c:pt>
                <c:pt idx="25">
                  <c:v>0.88</c:v>
                </c:pt>
                <c:pt idx="26">
                  <c:v>0.88</c:v>
                </c:pt>
                <c:pt idx="27">
                  <c:v>0.89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  <c:pt idx="31">
                  <c:v>0.91</c:v>
                </c:pt>
                <c:pt idx="32">
                  <c:v>0.81</c:v>
                </c:pt>
                <c:pt idx="33">
                  <c:v>0.91</c:v>
                </c:pt>
                <c:pt idx="34">
                  <c:v>0.64</c:v>
                </c:pt>
                <c:pt idx="35">
                  <c:v>0.91</c:v>
                </c:pt>
                <c:pt idx="36">
                  <c:v>0.64</c:v>
                </c:pt>
                <c:pt idx="37">
                  <c:v>0.91</c:v>
                </c:pt>
                <c:pt idx="38">
                  <c:v>0.64</c:v>
                </c:pt>
                <c:pt idx="39">
                  <c:v>0.91</c:v>
                </c:pt>
                <c:pt idx="40">
                  <c:v>0.64</c:v>
                </c:pt>
                <c:pt idx="41">
                  <c:v>0.91</c:v>
                </c:pt>
                <c:pt idx="42">
                  <c:v>0.64</c:v>
                </c:pt>
                <c:pt idx="43">
                  <c:v>0.91</c:v>
                </c:pt>
                <c:pt idx="44">
                  <c:v>0.64</c:v>
                </c:pt>
                <c:pt idx="45">
                  <c:v>0.91</c:v>
                </c:pt>
                <c:pt idx="46">
                  <c:v>0.64</c:v>
                </c:pt>
                <c:pt idx="47">
                  <c:v>0.91</c:v>
                </c:pt>
                <c:pt idx="48">
                  <c:v>0.64</c:v>
                </c:pt>
                <c:pt idx="49">
                  <c:v>0.91</c:v>
                </c:pt>
                <c:pt idx="50">
                  <c:v>0.64</c:v>
                </c:pt>
                <c:pt idx="51">
                  <c:v>0.91</c:v>
                </c:pt>
                <c:pt idx="52">
                  <c:v>0.64</c:v>
                </c:pt>
                <c:pt idx="53">
                  <c:v>0.91</c:v>
                </c:pt>
                <c:pt idx="54">
                  <c:v>0.64</c:v>
                </c:pt>
                <c:pt idx="55">
                  <c:v>0.91</c:v>
                </c:pt>
                <c:pt idx="56">
                  <c:v>0.64</c:v>
                </c:pt>
                <c:pt idx="57">
                  <c:v>0.91</c:v>
                </c:pt>
                <c:pt idx="58">
                  <c:v>0.64</c:v>
                </c:pt>
                <c:pt idx="59">
                  <c:v>0.91</c:v>
                </c:pt>
                <c:pt idx="60">
                  <c:v>0.64</c:v>
                </c:pt>
                <c:pt idx="61">
                  <c:v>0.91</c:v>
                </c:pt>
                <c:pt idx="62">
                  <c:v>0.64</c:v>
                </c:pt>
                <c:pt idx="63">
                  <c:v>0.91</c:v>
                </c:pt>
                <c:pt idx="64">
                  <c:v>0.73</c:v>
                </c:pt>
                <c:pt idx="65">
                  <c:v>0.91</c:v>
                </c:pt>
                <c:pt idx="66">
                  <c:v>0.92</c:v>
                </c:pt>
                <c:pt idx="67">
                  <c:v>0.92</c:v>
                </c:pt>
                <c:pt idx="68">
                  <c:v>0.92</c:v>
                </c:pt>
                <c:pt idx="69">
                  <c:v>0.92</c:v>
                </c:pt>
                <c:pt idx="70">
                  <c:v>0.93</c:v>
                </c:pt>
                <c:pt idx="71">
                  <c:v>0.93</c:v>
                </c:pt>
                <c:pt idx="72">
                  <c:v>0.93</c:v>
                </c:pt>
                <c:pt idx="73">
                  <c:v>0.93</c:v>
                </c:pt>
                <c:pt idx="74">
                  <c:v>0.93</c:v>
                </c:pt>
                <c:pt idx="75">
                  <c:v>0.88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v>input_arrRate (Sim)</c:v>
          </c:tx>
          <c:spPr>
            <a:ln w="25400">
              <a:solidFill>
                <a:schemeClr val="accent5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Simulation!$F$2:$F$102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0.14000000000000001</c:v>
                </c:pt>
                <c:pt idx="19">
                  <c:v>0.57999999999999996</c:v>
                </c:pt>
                <c:pt idx="20">
                  <c:v>0.73</c:v>
                </c:pt>
                <c:pt idx="21">
                  <c:v>0.78</c:v>
                </c:pt>
                <c:pt idx="22">
                  <c:v>0.82</c:v>
                </c:pt>
                <c:pt idx="23">
                  <c:v>0.84</c:v>
                </c:pt>
                <c:pt idx="24">
                  <c:v>0.85</c:v>
                </c:pt>
                <c:pt idx="25">
                  <c:v>0.87</c:v>
                </c:pt>
                <c:pt idx="26">
                  <c:v>0.88</c:v>
                </c:pt>
                <c:pt idx="27">
                  <c:v>0.88</c:v>
                </c:pt>
                <c:pt idx="28">
                  <c:v>0.89</c:v>
                </c:pt>
                <c:pt idx="29">
                  <c:v>0.9</c:v>
                </c:pt>
                <c:pt idx="30">
                  <c:v>0.9</c:v>
                </c:pt>
                <c:pt idx="31">
                  <c:v>0.9</c:v>
                </c:pt>
                <c:pt idx="32">
                  <c:v>0.91</c:v>
                </c:pt>
                <c:pt idx="33">
                  <c:v>0.81</c:v>
                </c:pt>
                <c:pt idx="34">
                  <c:v>0.91</c:v>
                </c:pt>
                <c:pt idx="35">
                  <c:v>0.64</c:v>
                </c:pt>
                <c:pt idx="36">
                  <c:v>0.91</c:v>
                </c:pt>
                <c:pt idx="37">
                  <c:v>0.64</c:v>
                </c:pt>
                <c:pt idx="38">
                  <c:v>0.91</c:v>
                </c:pt>
                <c:pt idx="39">
                  <c:v>0.64</c:v>
                </c:pt>
                <c:pt idx="40">
                  <c:v>0.91</c:v>
                </c:pt>
                <c:pt idx="41">
                  <c:v>0.64</c:v>
                </c:pt>
                <c:pt idx="42">
                  <c:v>0.91</c:v>
                </c:pt>
                <c:pt idx="43">
                  <c:v>0.64</c:v>
                </c:pt>
                <c:pt idx="44">
                  <c:v>0.91</c:v>
                </c:pt>
                <c:pt idx="45">
                  <c:v>0.64</c:v>
                </c:pt>
                <c:pt idx="46">
                  <c:v>0.91</c:v>
                </c:pt>
                <c:pt idx="47">
                  <c:v>0.64</c:v>
                </c:pt>
                <c:pt idx="48">
                  <c:v>0.91</c:v>
                </c:pt>
                <c:pt idx="49">
                  <c:v>0.64</c:v>
                </c:pt>
                <c:pt idx="50">
                  <c:v>0.91</c:v>
                </c:pt>
                <c:pt idx="51">
                  <c:v>0.64</c:v>
                </c:pt>
                <c:pt idx="52">
                  <c:v>0.91</c:v>
                </c:pt>
                <c:pt idx="53">
                  <c:v>0.64</c:v>
                </c:pt>
                <c:pt idx="54">
                  <c:v>0.91</c:v>
                </c:pt>
                <c:pt idx="55">
                  <c:v>0.64</c:v>
                </c:pt>
                <c:pt idx="56">
                  <c:v>0.91</c:v>
                </c:pt>
                <c:pt idx="57">
                  <c:v>0.64</c:v>
                </c:pt>
                <c:pt idx="58">
                  <c:v>0.91</c:v>
                </c:pt>
                <c:pt idx="59">
                  <c:v>0.64</c:v>
                </c:pt>
                <c:pt idx="60">
                  <c:v>0.91</c:v>
                </c:pt>
                <c:pt idx="61">
                  <c:v>0.64</c:v>
                </c:pt>
                <c:pt idx="62">
                  <c:v>0.91</c:v>
                </c:pt>
                <c:pt idx="63">
                  <c:v>0.64</c:v>
                </c:pt>
                <c:pt idx="64">
                  <c:v>0.91</c:v>
                </c:pt>
                <c:pt idx="65">
                  <c:v>0.73</c:v>
                </c:pt>
                <c:pt idx="66">
                  <c:v>0.91</c:v>
                </c:pt>
                <c:pt idx="67">
                  <c:v>0.92</c:v>
                </c:pt>
                <c:pt idx="68">
                  <c:v>0.92</c:v>
                </c:pt>
                <c:pt idx="69">
                  <c:v>0.92</c:v>
                </c:pt>
                <c:pt idx="70">
                  <c:v>0.92</c:v>
                </c:pt>
                <c:pt idx="71">
                  <c:v>0.93</c:v>
                </c:pt>
                <c:pt idx="72">
                  <c:v>0.93</c:v>
                </c:pt>
                <c:pt idx="73">
                  <c:v>0.93</c:v>
                </c:pt>
                <c:pt idx="74">
                  <c:v>0.93</c:v>
                </c:pt>
                <c:pt idx="75">
                  <c:v>0.93</c:v>
                </c:pt>
                <c:pt idx="76">
                  <c:v>0.88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2"/>
          <c:tx>
            <c:v>nrArr (Sim)</c:v>
          </c:tx>
          <c:spPr>
            <a:ln w="25400">
              <a:solidFill>
                <a:schemeClr val="accent5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0.140019</c:v>
                </c:pt>
                <c:pt idx="19">
                  <c:v>0.57934300000000005</c:v>
                </c:pt>
                <c:pt idx="20">
                  <c:v>0.73049799999999998</c:v>
                </c:pt>
                <c:pt idx="21">
                  <c:v>0.78044599999999997</c:v>
                </c:pt>
                <c:pt idx="22">
                  <c:v>0.82255599999999995</c:v>
                </c:pt>
                <c:pt idx="23">
                  <c:v>0.84022300000000005</c:v>
                </c:pt>
                <c:pt idx="24">
                  <c:v>0.850692</c:v>
                </c:pt>
                <c:pt idx="25">
                  <c:v>0.86892999999999998</c:v>
                </c:pt>
                <c:pt idx="26">
                  <c:v>0.879297</c:v>
                </c:pt>
                <c:pt idx="27">
                  <c:v>0.87815200000000004</c:v>
                </c:pt>
                <c:pt idx="28">
                  <c:v>0.891652</c:v>
                </c:pt>
                <c:pt idx="29">
                  <c:v>0.90049800000000002</c:v>
                </c:pt>
                <c:pt idx="30">
                  <c:v>0.89996900000000002</c:v>
                </c:pt>
                <c:pt idx="31">
                  <c:v>0.89976599999999995</c:v>
                </c:pt>
                <c:pt idx="32">
                  <c:v>0.90982499999999999</c:v>
                </c:pt>
                <c:pt idx="33">
                  <c:v>0.80856499999999998</c:v>
                </c:pt>
                <c:pt idx="34">
                  <c:v>0.91022199999999998</c:v>
                </c:pt>
                <c:pt idx="35">
                  <c:v>0.63985400000000003</c:v>
                </c:pt>
                <c:pt idx="36">
                  <c:v>0.90929300000000002</c:v>
                </c:pt>
                <c:pt idx="37">
                  <c:v>0.639378</c:v>
                </c:pt>
                <c:pt idx="38">
                  <c:v>0.91061400000000003</c:v>
                </c:pt>
                <c:pt idx="39">
                  <c:v>0.63997199999999999</c:v>
                </c:pt>
                <c:pt idx="40">
                  <c:v>0.91026600000000002</c:v>
                </c:pt>
                <c:pt idx="41">
                  <c:v>0.63900800000000002</c:v>
                </c:pt>
                <c:pt idx="42">
                  <c:v>0.91209200000000001</c:v>
                </c:pt>
                <c:pt idx="43">
                  <c:v>0.64048799999999995</c:v>
                </c:pt>
                <c:pt idx="44">
                  <c:v>0.90994799999999998</c:v>
                </c:pt>
                <c:pt idx="45">
                  <c:v>0.63909199999999999</c:v>
                </c:pt>
                <c:pt idx="46">
                  <c:v>0.91015100000000004</c:v>
                </c:pt>
                <c:pt idx="47">
                  <c:v>0.63954299999999997</c:v>
                </c:pt>
                <c:pt idx="48">
                  <c:v>0.90982099999999999</c:v>
                </c:pt>
                <c:pt idx="49">
                  <c:v>0.63800800000000002</c:v>
                </c:pt>
                <c:pt idx="50">
                  <c:v>0.90840299999999996</c:v>
                </c:pt>
                <c:pt idx="51">
                  <c:v>0.63907700000000001</c:v>
                </c:pt>
                <c:pt idx="52">
                  <c:v>0.91036499999999998</c:v>
                </c:pt>
                <c:pt idx="53">
                  <c:v>0.637984</c:v>
                </c:pt>
                <c:pt idx="54">
                  <c:v>0.90967500000000001</c:v>
                </c:pt>
                <c:pt idx="55">
                  <c:v>0.63897300000000001</c:v>
                </c:pt>
                <c:pt idx="56">
                  <c:v>0.91056700000000002</c:v>
                </c:pt>
                <c:pt idx="57">
                  <c:v>0.64078400000000002</c:v>
                </c:pt>
                <c:pt idx="58">
                  <c:v>0.91029000000000004</c:v>
                </c:pt>
                <c:pt idx="59">
                  <c:v>0.64016399999999996</c:v>
                </c:pt>
                <c:pt idx="60">
                  <c:v>0.909856</c:v>
                </c:pt>
                <c:pt idx="61">
                  <c:v>0.64020100000000002</c:v>
                </c:pt>
                <c:pt idx="62">
                  <c:v>0.90968599999999999</c:v>
                </c:pt>
                <c:pt idx="63">
                  <c:v>0.640706</c:v>
                </c:pt>
                <c:pt idx="64">
                  <c:v>0.90974699999999997</c:v>
                </c:pt>
                <c:pt idx="65">
                  <c:v>0.72970999999999997</c:v>
                </c:pt>
                <c:pt idx="66">
                  <c:v>0.90820199999999995</c:v>
                </c:pt>
                <c:pt idx="67">
                  <c:v>0.92035400000000001</c:v>
                </c:pt>
                <c:pt idx="68">
                  <c:v>0.91924300000000003</c:v>
                </c:pt>
                <c:pt idx="69">
                  <c:v>0.91972100000000001</c:v>
                </c:pt>
                <c:pt idx="70">
                  <c:v>0.92076499999999994</c:v>
                </c:pt>
                <c:pt idx="71">
                  <c:v>0.92990799999999996</c:v>
                </c:pt>
                <c:pt idx="72">
                  <c:v>0.93091699999999999</c:v>
                </c:pt>
                <c:pt idx="73">
                  <c:v>0.93064599999999997</c:v>
                </c:pt>
                <c:pt idx="74">
                  <c:v>0.93069500000000005</c:v>
                </c:pt>
                <c:pt idx="75">
                  <c:v>0.92926600000000004</c:v>
                </c:pt>
                <c:pt idx="76">
                  <c:v>0.88013300000000005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11648"/>
        <c:axId val="100426112"/>
      </c:scatterChart>
      <c:valAx>
        <c:axId val="10041164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26112"/>
        <c:crosses val="autoZero"/>
        <c:crossBetween val="midCat"/>
      </c:valAx>
      <c:valAx>
        <c:axId val="1004261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1164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L^Q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-0.11</c:v>
                </c:pt>
                <c:pt idx="18">
                  <c:v>-0.15</c:v>
                </c:pt>
                <c:pt idx="19">
                  <c:v>-0.02</c:v>
                </c:pt>
                <c:pt idx="20">
                  <c:v>0.14000000000000001</c:v>
                </c:pt>
                <c:pt idx="21">
                  <c:v>0.31</c:v>
                </c:pt>
                <c:pt idx="22">
                  <c:v>0.48</c:v>
                </c:pt>
                <c:pt idx="23">
                  <c:v>0.64</c:v>
                </c:pt>
                <c:pt idx="24">
                  <c:v>0.8</c:v>
                </c:pt>
                <c:pt idx="25">
                  <c:v>0.96</c:v>
                </c:pt>
                <c:pt idx="26">
                  <c:v>1.1100000000000001</c:v>
                </c:pt>
                <c:pt idx="27">
                  <c:v>1.25</c:v>
                </c:pt>
                <c:pt idx="28">
                  <c:v>1.39</c:v>
                </c:pt>
                <c:pt idx="29">
                  <c:v>1.53</c:v>
                </c:pt>
                <c:pt idx="30">
                  <c:v>1.67</c:v>
                </c:pt>
                <c:pt idx="31">
                  <c:v>1.8</c:v>
                </c:pt>
                <c:pt idx="32">
                  <c:v>1.83</c:v>
                </c:pt>
                <c:pt idx="33">
                  <c:v>1.96</c:v>
                </c:pt>
                <c:pt idx="34">
                  <c:v>1.83</c:v>
                </c:pt>
                <c:pt idx="35">
                  <c:v>1.96</c:v>
                </c:pt>
                <c:pt idx="36">
                  <c:v>1.83</c:v>
                </c:pt>
                <c:pt idx="37">
                  <c:v>1.96</c:v>
                </c:pt>
                <c:pt idx="38">
                  <c:v>1.83</c:v>
                </c:pt>
                <c:pt idx="39">
                  <c:v>1.96</c:v>
                </c:pt>
                <c:pt idx="40">
                  <c:v>1.83</c:v>
                </c:pt>
                <c:pt idx="41">
                  <c:v>1.96</c:v>
                </c:pt>
                <c:pt idx="42">
                  <c:v>1.83</c:v>
                </c:pt>
                <c:pt idx="43">
                  <c:v>1.96</c:v>
                </c:pt>
                <c:pt idx="44">
                  <c:v>1.83</c:v>
                </c:pt>
                <c:pt idx="45">
                  <c:v>1.96</c:v>
                </c:pt>
                <c:pt idx="46">
                  <c:v>1.83</c:v>
                </c:pt>
                <c:pt idx="47">
                  <c:v>1.96</c:v>
                </c:pt>
                <c:pt idx="48">
                  <c:v>1.83</c:v>
                </c:pt>
                <c:pt idx="49">
                  <c:v>1.96</c:v>
                </c:pt>
                <c:pt idx="50">
                  <c:v>1.83</c:v>
                </c:pt>
                <c:pt idx="51">
                  <c:v>1.96</c:v>
                </c:pt>
                <c:pt idx="52">
                  <c:v>1.83</c:v>
                </c:pt>
                <c:pt idx="53">
                  <c:v>1.96</c:v>
                </c:pt>
                <c:pt idx="54">
                  <c:v>1.83</c:v>
                </c:pt>
                <c:pt idx="55">
                  <c:v>1.96</c:v>
                </c:pt>
                <c:pt idx="56">
                  <c:v>1.83</c:v>
                </c:pt>
                <c:pt idx="57">
                  <c:v>1.96</c:v>
                </c:pt>
                <c:pt idx="58">
                  <c:v>1.83</c:v>
                </c:pt>
                <c:pt idx="59">
                  <c:v>1.96</c:v>
                </c:pt>
                <c:pt idx="60">
                  <c:v>1.83</c:v>
                </c:pt>
                <c:pt idx="61">
                  <c:v>1.96</c:v>
                </c:pt>
                <c:pt idx="62">
                  <c:v>1.83</c:v>
                </c:pt>
                <c:pt idx="63">
                  <c:v>1.96</c:v>
                </c:pt>
                <c:pt idx="64">
                  <c:v>1.91</c:v>
                </c:pt>
                <c:pt idx="65">
                  <c:v>2.04</c:v>
                </c:pt>
                <c:pt idx="66">
                  <c:v>2.16</c:v>
                </c:pt>
                <c:pt idx="67">
                  <c:v>2.2799999999999998</c:v>
                </c:pt>
                <c:pt idx="68">
                  <c:v>2.39</c:v>
                </c:pt>
                <c:pt idx="69">
                  <c:v>2.5099999999999998</c:v>
                </c:pt>
                <c:pt idx="70">
                  <c:v>2.62</c:v>
                </c:pt>
                <c:pt idx="71">
                  <c:v>2.73</c:v>
                </c:pt>
                <c:pt idx="72">
                  <c:v>2.84</c:v>
                </c:pt>
                <c:pt idx="73">
                  <c:v>2.94</c:v>
                </c:pt>
                <c:pt idx="74">
                  <c:v>3.05</c:v>
                </c:pt>
                <c:pt idx="75">
                  <c:v>3.1</c:v>
                </c:pt>
                <c:pt idx="76">
                  <c:v>2.33</c:v>
                </c:pt>
                <c:pt idx="77">
                  <c:v>1.61</c:v>
                </c:pt>
                <c:pt idx="78">
                  <c:v>0.96</c:v>
                </c:pt>
                <c:pt idx="79">
                  <c:v>0.42</c:v>
                </c:pt>
                <c:pt idx="80">
                  <c:v>0.02</c:v>
                </c:pt>
                <c:pt idx="81">
                  <c:v>-0.16</c:v>
                </c:pt>
                <c:pt idx="82">
                  <c:v>-0.13</c:v>
                </c:pt>
                <c:pt idx="83">
                  <c:v>-0.03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v>L^Q (Sim)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1.9182581495158499E-3</c:v>
                </c:pt>
                <c:pt idx="19">
                  <c:v>4.76423550247062E-2</c:v>
                </c:pt>
                <c:pt idx="20">
                  <c:v>0.184536046735193</c:v>
                </c:pt>
                <c:pt idx="21">
                  <c:v>0.35850451412888701</c:v>
                </c:pt>
                <c:pt idx="22">
                  <c:v>0.53634025336729096</c:v>
                </c:pt>
                <c:pt idx="23">
                  <c:v>0.70969853257654703</c:v>
                </c:pt>
                <c:pt idx="24">
                  <c:v>0.87131054884301795</c:v>
                </c:pt>
                <c:pt idx="25">
                  <c:v>1.0263040804179799</c:v>
                </c:pt>
                <c:pt idx="26">
                  <c:v>1.1758812660874101</c:v>
                </c:pt>
                <c:pt idx="27">
                  <c:v>1.3164984655269401</c:v>
                </c:pt>
                <c:pt idx="28">
                  <c:v>1.4506642333719899</c:v>
                </c:pt>
                <c:pt idx="29">
                  <c:v>1.5834293497735099</c:v>
                </c:pt>
                <c:pt idx="30">
                  <c:v>1.70966614511714</c:v>
                </c:pt>
                <c:pt idx="31">
                  <c:v>1.8291821630976299</c:v>
                </c:pt>
                <c:pt idx="32">
                  <c:v>1.9450492360770399</c:v>
                </c:pt>
                <c:pt idx="33">
                  <c:v>2.01862091501977</c:v>
                </c:pt>
                <c:pt idx="34">
                  <c:v>2.0904642207105599</c:v>
                </c:pt>
                <c:pt idx="35">
                  <c:v>2.09319141758162</c:v>
                </c:pt>
                <c:pt idx="36">
                  <c:v>2.0985265087210001</c:v>
                </c:pt>
                <c:pt idx="37">
                  <c:v>2.1054163755023501</c:v>
                </c:pt>
                <c:pt idx="38">
                  <c:v>2.11413533624274</c:v>
                </c:pt>
                <c:pt idx="39">
                  <c:v>2.12455363499318</c:v>
                </c:pt>
                <c:pt idx="40">
                  <c:v>2.1367103924873998</c:v>
                </c:pt>
                <c:pt idx="41">
                  <c:v>2.14870317761368</c:v>
                </c:pt>
                <c:pt idx="42">
                  <c:v>2.1621557791036601</c:v>
                </c:pt>
                <c:pt idx="43">
                  <c:v>2.1738877170822501</c:v>
                </c:pt>
                <c:pt idx="44">
                  <c:v>2.1854514626884902</c:v>
                </c:pt>
                <c:pt idx="45">
                  <c:v>2.1964563316398</c:v>
                </c:pt>
                <c:pt idx="46">
                  <c:v>2.2072741877828199</c:v>
                </c:pt>
                <c:pt idx="47">
                  <c:v>2.21852453452499</c:v>
                </c:pt>
                <c:pt idx="48">
                  <c:v>2.2301015731102698</c:v>
                </c:pt>
                <c:pt idx="49">
                  <c:v>2.2389442908547101</c:v>
                </c:pt>
                <c:pt idx="50">
                  <c:v>2.2507273199487399</c:v>
                </c:pt>
                <c:pt idx="51">
                  <c:v>2.2595497185429898</c:v>
                </c:pt>
                <c:pt idx="52">
                  <c:v>2.2697960153874401</c:v>
                </c:pt>
                <c:pt idx="53">
                  <c:v>2.2792258609448899</c:v>
                </c:pt>
                <c:pt idx="54">
                  <c:v>2.2888259536348299</c:v>
                </c:pt>
                <c:pt idx="55">
                  <c:v>2.2976148341890701</c:v>
                </c:pt>
                <c:pt idx="56">
                  <c:v>2.3073269277337598</c:v>
                </c:pt>
                <c:pt idx="57">
                  <c:v>2.3173915363039601</c:v>
                </c:pt>
                <c:pt idx="58">
                  <c:v>2.3267973650674598</c:v>
                </c:pt>
                <c:pt idx="59">
                  <c:v>2.33524009634576</c:v>
                </c:pt>
                <c:pt idx="60">
                  <c:v>2.3448817044797101</c:v>
                </c:pt>
                <c:pt idx="61">
                  <c:v>2.3532179409584799</c:v>
                </c:pt>
                <c:pt idx="62">
                  <c:v>2.3619365501176701</c:v>
                </c:pt>
                <c:pt idx="63">
                  <c:v>2.3691320179659199</c:v>
                </c:pt>
                <c:pt idx="64">
                  <c:v>2.3778266092420601</c:v>
                </c:pt>
                <c:pt idx="65">
                  <c:v>2.4190644623820101</c:v>
                </c:pt>
                <c:pt idx="66">
                  <c:v>2.4584138454783901</c:v>
                </c:pt>
                <c:pt idx="67">
                  <c:v>2.5680247800261702</c:v>
                </c:pt>
                <c:pt idx="68">
                  <c:v>2.6761085340331898</c:v>
                </c:pt>
                <c:pt idx="69">
                  <c:v>2.7770899670304598</c:v>
                </c:pt>
                <c:pt idx="70">
                  <c:v>2.8745147632179302</c:v>
                </c:pt>
                <c:pt idx="71" formatCode="0.00E+00">
                  <c:v>2.9707884991603501</c:v>
                </c:pt>
                <c:pt idx="72" formatCode="0.00E+00">
                  <c:v>3.0672713549678399</c:v>
                </c:pt>
                <c:pt idx="73" formatCode="0.00E+00">
                  <c:v>3.1602891684299301</c:v>
                </c:pt>
                <c:pt idx="74" formatCode="0.00E+00">
                  <c:v>3.2484274247005702</c:v>
                </c:pt>
                <c:pt idx="75" formatCode="0.00E+00">
                  <c:v>3.33388364375288</c:v>
                </c:pt>
                <c:pt idx="76" formatCode="0.00E+00">
                  <c:v>3.3941206816478302</c:v>
                </c:pt>
                <c:pt idx="77" formatCode="0.00E+00">
                  <c:v>3.0824977996602501</c:v>
                </c:pt>
                <c:pt idx="78" formatCode="0.00E+00">
                  <c:v>2.49532031346296</c:v>
                </c:pt>
                <c:pt idx="79" formatCode="0.00E+00">
                  <c:v>2.0076900846607502</c:v>
                </c:pt>
                <c:pt idx="80" formatCode="0.00E+00">
                  <c:v>1.60733329617969</c:v>
                </c:pt>
                <c:pt idx="81" formatCode="0.00E+00">
                  <c:v>1.2806469711264601</c:v>
                </c:pt>
                <c:pt idx="82" formatCode="0.00E+00">
                  <c:v>1.01542989967752</c:v>
                </c:pt>
                <c:pt idx="83" formatCode="0.00E+00">
                  <c:v>0.80179554988768298</c:v>
                </c:pt>
                <c:pt idx="84" formatCode="0.00E+00">
                  <c:v>0.62984079108281898</c:v>
                </c:pt>
                <c:pt idx="85" formatCode="0.00E+00">
                  <c:v>0.49329546398625401</c:v>
                </c:pt>
                <c:pt idx="86" formatCode="0.00E+00">
                  <c:v>0.38510023597915999</c:v>
                </c:pt>
                <c:pt idx="87" formatCode="0.00E+00">
                  <c:v>0.29946721044226599</c:v>
                </c:pt>
                <c:pt idx="88" formatCode="0.00E+00">
                  <c:v>0.23204591582595999</c:v>
                </c:pt>
                <c:pt idx="89" formatCode="0.00E+00">
                  <c:v>0.178989568919454</c:v>
                </c:pt>
                <c:pt idx="90" formatCode="0.00E+00">
                  <c:v>0.137672855250599</c:v>
                </c:pt>
                <c:pt idx="91" formatCode="0.00E+00">
                  <c:v>0.10548622200427001</c:v>
                </c:pt>
                <c:pt idx="92" formatCode="0.00E+00">
                  <c:v>8.0724010760882703E-2</c:v>
                </c:pt>
                <c:pt idx="93" formatCode="0.00E+00">
                  <c:v>6.1603429379425402E-2</c:v>
                </c:pt>
                <c:pt idx="94" formatCode="0.00E+00">
                  <c:v>4.6829702857094903E-2</c:v>
                </c:pt>
                <c:pt idx="95" formatCode="0.00E+00">
                  <c:v>3.5347119901667702E-2</c:v>
                </c:pt>
                <c:pt idx="96" formatCode="0.00E+00">
                  <c:v>2.6585355836299601E-2</c:v>
                </c:pt>
                <c:pt idx="97" formatCode="0.00E+00">
                  <c:v>1.9865442621903699E-2</c:v>
                </c:pt>
                <c:pt idx="98" formatCode="0.00E+00">
                  <c:v>1.48808595867163E-2</c:v>
                </c:pt>
                <c:pt idx="99" formatCode="0.00E+00">
                  <c:v>1.10492474048296E-2</c:v>
                </c:pt>
                <c:pt idx="100" formatCode="0.00E+00">
                  <c:v>8.16547895624508E-3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84224"/>
        <c:axId val="100486144"/>
      </c:scatterChart>
      <c:valAx>
        <c:axId val="100484224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86144"/>
        <c:crosses val="autoZero"/>
        <c:crossBetween val="midCat"/>
      </c:valAx>
      <c:valAx>
        <c:axId val="100486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8422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L^S (SBC)</c:v>
          </c:tx>
          <c:spPr>
            <a:ln w="2540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SBC!$I$2:$I$102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0.22</c:v>
                </c:pt>
                <c:pt idx="19">
                  <c:v>0.46</c:v>
                </c:pt>
                <c:pt idx="20">
                  <c:v>0.69</c:v>
                </c:pt>
                <c:pt idx="21">
                  <c:v>0.91</c:v>
                </c:pt>
                <c:pt idx="22">
                  <c:v>1.1100000000000001</c:v>
                </c:pt>
                <c:pt idx="23">
                  <c:v>1.3</c:v>
                </c:pt>
                <c:pt idx="24">
                  <c:v>1.49</c:v>
                </c:pt>
                <c:pt idx="25">
                  <c:v>1.66</c:v>
                </c:pt>
                <c:pt idx="26">
                  <c:v>1.82</c:v>
                </c:pt>
                <c:pt idx="27">
                  <c:v>1.98</c:v>
                </c:pt>
                <c:pt idx="28">
                  <c:v>2.14</c:v>
                </c:pt>
                <c:pt idx="29">
                  <c:v>2.2799999999999998</c:v>
                </c:pt>
                <c:pt idx="30">
                  <c:v>2.4300000000000002</c:v>
                </c:pt>
                <c:pt idx="31">
                  <c:v>2.57</c:v>
                </c:pt>
                <c:pt idx="32">
                  <c:v>2.6</c:v>
                </c:pt>
                <c:pt idx="33">
                  <c:v>2.74</c:v>
                </c:pt>
                <c:pt idx="34">
                  <c:v>2.6</c:v>
                </c:pt>
                <c:pt idx="35">
                  <c:v>2.74</c:v>
                </c:pt>
                <c:pt idx="36">
                  <c:v>2.6</c:v>
                </c:pt>
                <c:pt idx="37">
                  <c:v>2.74</c:v>
                </c:pt>
                <c:pt idx="38">
                  <c:v>2.6</c:v>
                </c:pt>
                <c:pt idx="39">
                  <c:v>2.74</c:v>
                </c:pt>
                <c:pt idx="40">
                  <c:v>2.6</c:v>
                </c:pt>
                <c:pt idx="41">
                  <c:v>2.74</c:v>
                </c:pt>
                <c:pt idx="42">
                  <c:v>2.6</c:v>
                </c:pt>
                <c:pt idx="43">
                  <c:v>2.74</c:v>
                </c:pt>
                <c:pt idx="44">
                  <c:v>2.6</c:v>
                </c:pt>
                <c:pt idx="45">
                  <c:v>2.74</c:v>
                </c:pt>
                <c:pt idx="46">
                  <c:v>2.6</c:v>
                </c:pt>
                <c:pt idx="47">
                  <c:v>2.74</c:v>
                </c:pt>
                <c:pt idx="48">
                  <c:v>2.6</c:v>
                </c:pt>
                <c:pt idx="49">
                  <c:v>2.74</c:v>
                </c:pt>
                <c:pt idx="50">
                  <c:v>2.6</c:v>
                </c:pt>
                <c:pt idx="51">
                  <c:v>2.74</c:v>
                </c:pt>
                <c:pt idx="52">
                  <c:v>2.6</c:v>
                </c:pt>
                <c:pt idx="53">
                  <c:v>2.74</c:v>
                </c:pt>
                <c:pt idx="54">
                  <c:v>2.6</c:v>
                </c:pt>
                <c:pt idx="55">
                  <c:v>2.74</c:v>
                </c:pt>
                <c:pt idx="56">
                  <c:v>2.6</c:v>
                </c:pt>
                <c:pt idx="57">
                  <c:v>2.74</c:v>
                </c:pt>
                <c:pt idx="58">
                  <c:v>2.6</c:v>
                </c:pt>
                <c:pt idx="59">
                  <c:v>2.74</c:v>
                </c:pt>
                <c:pt idx="60">
                  <c:v>2.6</c:v>
                </c:pt>
                <c:pt idx="61">
                  <c:v>2.74</c:v>
                </c:pt>
                <c:pt idx="62">
                  <c:v>2.6</c:v>
                </c:pt>
                <c:pt idx="63">
                  <c:v>2.74</c:v>
                </c:pt>
                <c:pt idx="64">
                  <c:v>2.69</c:v>
                </c:pt>
                <c:pt idx="65">
                  <c:v>2.82</c:v>
                </c:pt>
                <c:pt idx="66">
                  <c:v>2.95</c:v>
                </c:pt>
                <c:pt idx="67">
                  <c:v>3.07</c:v>
                </c:pt>
                <c:pt idx="68">
                  <c:v>3.19</c:v>
                </c:pt>
                <c:pt idx="69">
                  <c:v>3.31</c:v>
                </c:pt>
                <c:pt idx="70">
                  <c:v>3.43</c:v>
                </c:pt>
                <c:pt idx="71">
                  <c:v>3.54</c:v>
                </c:pt>
                <c:pt idx="72">
                  <c:v>3.65</c:v>
                </c:pt>
                <c:pt idx="73">
                  <c:v>3.76</c:v>
                </c:pt>
                <c:pt idx="74">
                  <c:v>3.87</c:v>
                </c:pt>
                <c:pt idx="75">
                  <c:v>3.92</c:v>
                </c:pt>
                <c:pt idx="76">
                  <c:v>3.13</c:v>
                </c:pt>
                <c:pt idx="77">
                  <c:v>2.37</c:v>
                </c:pt>
                <c:pt idx="78">
                  <c:v>1.67</c:v>
                </c:pt>
                <c:pt idx="79">
                  <c:v>1.04</c:v>
                </c:pt>
                <c:pt idx="80">
                  <c:v>0.53</c:v>
                </c:pt>
                <c:pt idx="81">
                  <c:v>0.18</c:v>
                </c:pt>
                <c:pt idx="82">
                  <c:v>0.03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L^S (Sim)</c:v>
          </c:tx>
          <c:spPr>
            <a:ln w="25400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Simulation!$N$2:$N$102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5.1914523555424502E-2</c:v>
                </c:pt>
                <c:pt idx="19">
                  <c:v>0.28261251326487602</c:v>
                </c:pt>
                <c:pt idx="20">
                  <c:v>0.60255749360038102</c:v>
                </c:pt>
                <c:pt idx="21">
                  <c:v>0.88216570811537598</c:v>
                </c:pt>
                <c:pt idx="22">
                  <c:v>1.1255472594853499</c:v>
                </c:pt>
                <c:pt idx="23">
                  <c:v>1.3441925781606501</c:v>
                </c:pt>
                <c:pt idx="24">
                  <c:v>1.53834895173713</c:v>
                </c:pt>
                <c:pt idx="25">
                  <c:v>1.7186408556416599</c:v>
                </c:pt>
                <c:pt idx="26">
                  <c:v>1.88921636407155</c:v>
                </c:pt>
                <c:pt idx="27">
                  <c:v>2.0465164185497402</c:v>
                </c:pt>
                <c:pt idx="28">
                  <c:v>2.19486542820639</c:v>
                </c:pt>
                <c:pt idx="29">
                  <c:v>2.3405788287616098</c:v>
                </c:pt>
                <c:pt idx="30">
                  <c:v>2.4772882367808902</c:v>
                </c:pt>
                <c:pt idx="31">
                  <c:v>2.6056724726278602</c:v>
                </c:pt>
                <c:pt idx="32">
                  <c:v>2.7293919122028401</c:v>
                </c:pt>
                <c:pt idx="33">
                  <c:v>2.8021796074015999</c:v>
                </c:pt>
                <c:pt idx="34">
                  <c:v>2.87744112723971</c:v>
                </c:pt>
                <c:pt idx="35">
                  <c:v>2.8675108977111798</c:v>
                </c:pt>
                <c:pt idx="36">
                  <c:v>2.8721844037850799</c:v>
                </c:pt>
                <c:pt idx="37">
                  <c:v>2.87223300306231</c:v>
                </c:pt>
                <c:pt idx="38">
                  <c:v>2.8826487190208199</c:v>
                </c:pt>
                <c:pt idx="39">
                  <c:v>2.8876318931817102</c:v>
                </c:pt>
                <c:pt idx="40">
                  <c:v>2.9028020026790502</c:v>
                </c:pt>
                <c:pt idx="41">
                  <c:v>2.9102292024093801</c:v>
                </c:pt>
                <c:pt idx="42">
                  <c:v>2.9276915120370002</c:v>
                </c:pt>
                <c:pt idx="43">
                  <c:v>2.9352857157118302</c:v>
                </c:pt>
                <c:pt idx="44">
                  <c:v>2.9505469991092901</c:v>
                </c:pt>
                <c:pt idx="45">
                  <c:v>2.95723851792</c:v>
                </c:pt>
                <c:pt idx="46">
                  <c:v>2.9726198157224499</c:v>
                </c:pt>
                <c:pt idx="47">
                  <c:v>2.9803310233451499</c:v>
                </c:pt>
                <c:pt idx="48">
                  <c:v>2.9962282151964201</c:v>
                </c:pt>
                <c:pt idx="49">
                  <c:v>3.0011006698196301</c:v>
                </c:pt>
                <c:pt idx="50">
                  <c:v>3.01687068669706</c:v>
                </c:pt>
                <c:pt idx="51">
                  <c:v>3.0216728582957999</c:v>
                </c:pt>
                <c:pt idx="52">
                  <c:v>3.0361220376562899</c:v>
                </c:pt>
                <c:pt idx="53">
                  <c:v>3.0420912308683201</c:v>
                </c:pt>
                <c:pt idx="54">
                  <c:v>3.05540758851365</c:v>
                </c:pt>
                <c:pt idx="55">
                  <c:v>3.0605092455265801</c:v>
                </c:pt>
                <c:pt idx="56">
                  <c:v>3.0744005124399099</c:v>
                </c:pt>
                <c:pt idx="57">
                  <c:v>3.0808026163207498</c:v>
                </c:pt>
                <c:pt idx="58">
                  <c:v>3.0946615121617098</c:v>
                </c:pt>
                <c:pt idx="59">
                  <c:v>3.09967398094531</c:v>
                </c:pt>
                <c:pt idx="60">
                  <c:v>3.1133692778150199</c:v>
                </c:pt>
                <c:pt idx="61">
                  <c:v>3.1178349711809701</c:v>
                </c:pt>
                <c:pt idx="62">
                  <c:v>3.1306250628188899</c:v>
                </c:pt>
                <c:pt idx="63">
                  <c:v>3.1340581177959601</c:v>
                </c:pt>
                <c:pt idx="64">
                  <c:v>3.14666312406536</c:v>
                </c:pt>
                <c:pt idx="65">
                  <c:v>3.1922845918687401</c:v>
                </c:pt>
                <c:pt idx="66">
                  <c:v>3.2382826410547101</c:v>
                </c:pt>
                <c:pt idx="67">
                  <c:v>3.3638847366518498</c:v>
                </c:pt>
                <c:pt idx="68">
                  <c:v>3.4825202438412299</c:v>
                </c:pt>
                <c:pt idx="69">
                  <c:v>3.5914204564355501</c:v>
                </c:pt>
                <c:pt idx="70">
                  <c:v>3.6953844001576899</c:v>
                </c:pt>
                <c:pt idx="71">
                  <c:v>3.7973314600088202</c:v>
                </c:pt>
                <c:pt idx="72">
                  <c:v>3.89898114063686</c:v>
                </c:pt>
                <c:pt idx="73" formatCode="0.00E+00">
                  <c:v>3.9965815099820698</c:v>
                </c:pt>
                <c:pt idx="74" formatCode="0.00E+00">
                  <c:v>4.0886920539012603</c:v>
                </c:pt>
                <c:pt idx="75" formatCode="0.00E+00">
                  <c:v>4.1771321363842997</c:v>
                </c:pt>
                <c:pt idx="76" formatCode="0.00E+00">
                  <c:v>4.2373264928449403</c:v>
                </c:pt>
                <c:pt idx="77" formatCode="0.00E+00">
                  <c:v>3.8574582346834601</c:v>
                </c:pt>
                <c:pt idx="78" formatCode="0.00E+00">
                  <c:v>3.14600519168593</c:v>
                </c:pt>
                <c:pt idx="79" formatCode="0.00E+00">
                  <c:v>2.5498390377335101</c:v>
                </c:pt>
                <c:pt idx="80" formatCode="0.00E+00">
                  <c:v>2.0557730513171202</c:v>
                </c:pt>
                <c:pt idx="81" formatCode="0.00E+00">
                  <c:v>1.64874126792798</c:v>
                </c:pt>
                <c:pt idx="82" formatCode="0.00E+00">
                  <c:v>1.3155092216219599</c:v>
                </c:pt>
                <c:pt idx="83" formatCode="0.00E+00">
                  <c:v>1.04486246535507</c:v>
                </c:pt>
                <c:pt idx="84" formatCode="0.00E+00">
                  <c:v>0.82573201347994996</c:v>
                </c:pt>
                <c:pt idx="85" formatCode="0.00E+00">
                  <c:v>0.65021452528146595</c:v>
                </c:pt>
                <c:pt idx="86" formatCode="0.00E+00">
                  <c:v>0.510069437457212</c:v>
                </c:pt>
                <c:pt idx="87" formatCode="0.00E+00">
                  <c:v>0.39838635773270697</c:v>
                </c:pt>
                <c:pt idx="88" formatCode="0.00E+00">
                  <c:v>0.31029908192355399</c:v>
                </c:pt>
                <c:pt idx="89" formatCode="0.00E+00">
                  <c:v>0.240583646762909</c:v>
                </c:pt>
                <c:pt idx="90" formatCode="0.00E+00">
                  <c:v>0.185907432884615</c:v>
                </c:pt>
                <c:pt idx="91" formatCode="0.00E+00">
                  <c:v>0.14316474243640101</c:v>
                </c:pt>
                <c:pt idx="92" formatCode="0.00E+00">
                  <c:v>0.110012619097859</c:v>
                </c:pt>
                <c:pt idx="93" formatCode="0.00E+00">
                  <c:v>8.4378406764105907E-2</c:v>
                </c:pt>
                <c:pt idx="94" formatCode="0.00E+00">
                  <c:v>6.4373584760680794E-2</c:v>
                </c:pt>
                <c:pt idx="95" formatCode="0.00E+00">
                  <c:v>4.8820967045676601E-2</c:v>
                </c:pt>
                <c:pt idx="96" formatCode="0.00E+00">
                  <c:v>3.6960742601599199E-2</c:v>
                </c:pt>
                <c:pt idx="97" formatCode="0.00E+00">
                  <c:v>2.7806029885026801E-2</c:v>
                </c:pt>
                <c:pt idx="98" formatCode="0.00E+00">
                  <c:v>2.0932474407355298E-2</c:v>
                </c:pt>
                <c:pt idx="99" formatCode="0.00E+00">
                  <c:v>1.56615183555932E-2</c:v>
                </c:pt>
                <c:pt idx="100" formatCode="0.00E+00">
                  <c:v>1.1655579711450301E-2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37696"/>
        <c:axId val="103839616"/>
      </c:scatterChart>
      <c:valAx>
        <c:axId val="10383769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839616"/>
        <c:crosses val="autoZero"/>
        <c:crossBetween val="midCat"/>
      </c:valAx>
      <c:valAx>
        <c:axId val="10383961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83769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2"/>
          <c:tx>
            <c:v>L^Q (SBC)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SBC!$H$2:$H$102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-0.11</c:v>
                </c:pt>
                <c:pt idx="18">
                  <c:v>-0.15</c:v>
                </c:pt>
                <c:pt idx="19">
                  <c:v>-0.02</c:v>
                </c:pt>
                <c:pt idx="20">
                  <c:v>0.14000000000000001</c:v>
                </c:pt>
                <c:pt idx="21">
                  <c:v>0.31</c:v>
                </c:pt>
                <c:pt idx="22">
                  <c:v>0.48</c:v>
                </c:pt>
                <c:pt idx="23">
                  <c:v>0.64</c:v>
                </c:pt>
                <c:pt idx="24">
                  <c:v>0.8</c:v>
                </c:pt>
                <c:pt idx="25">
                  <c:v>0.96</c:v>
                </c:pt>
                <c:pt idx="26">
                  <c:v>1.1100000000000001</c:v>
                </c:pt>
                <c:pt idx="27">
                  <c:v>1.25</c:v>
                </c:pt>
                <c:pt idx="28">
                  <c:v>1.39</c:v>
                </c:pt>
                <c:pt idx="29">
                  <c:v>1.53</c:v>
                </c:pt>
                <c:pt idx="30">
                  <c:v>1.67</c:v>
                </c:pt>
                <c:pt idx="31">
                  <c:v>1.8</c:v>
                </c:pt>
                <c:pt idx="32">
                  <c:v>1.83</c:v>
                </c:pt>
                <c:pt idx="33">
                  <c:v>1.96</c:v>
                </c:pt>
                <c:pt idx="34">
                  <c:v>1.83</c:v>
                </c:pt>
                <c:pt idx="35">
                  <c:v>1.96</c:v>
                </c:pt>
                <c:pt idx="36">
                  <c:v>1.83</c:v>
                </c:pt>
                <c:pt idx="37">
                  <c:v>1.96</c:v>
                </c:pt>
                <c:pt idx="38">
                  <c:v>1.83</c:v>
                </c:pt>
                <c:pt idx="39">
                  <c:v>1.96</c:v>
                </c:pt>
                <c:pt idx="40">
                  <c:v>1.83</c:v>
                </c:pt>
                <c:pt idx="41">
                  <c:v>1.96</c:v>
                </c:pt>
                <c:pt idx="42">
                  <c:v>1.83</c:v>
                </c:pt>
                <c:pt idx="43">
                  <c:v>1.96</c:v>
                </c:pt>
                <c:pt idx="44">
                  <c:v>1.83</c:v>
                </c:pt>
                <c:pt idx="45">
                  <c:v>1.96</c:v>
                </c:pt>
                <c:pt idx="46">
                  <c:v>1.83</c:v>
                </c:pt>
                <c:pt idx="47">
                  <c:v>1.96</c:v>
                </c:pt>
                <c:pt idx="48">
                  <c:v>1.83</c:v>
                </c:pt>
                <c:pt idx="49">
                  <c:v>1.96</c:v>
                </c:pt>
                <c:pt idx="50">
                  <c:v>1.83</c:v>
                </c:pt>
                <c:pt idx="51">
                  <c:v>1.96</c:v>
                </c:pt>
                <c:pt idx="52">
                  <c:v>1.83</c:v>
                </c:pt>
                <c:pt idx="53">
                  <c:v>1.96</c:v>
                </c:pt>
                <c:pt idx="54">
                  <c:v>1.83</c:v>
                </c:pt>
                <c:pt idx="55">
                  <c:v>1.96</c:v>
                </c:pt>
                <c:pt idx="56">
                  <c:v>1.83</c:v>
                </c:pt>
                <c:pt idx="57">
                  <c:v>1.96</c:v>
                </c:pt>
                <c:pt idx="58">
                  <c:v>1.83</c:v>
                </c:pt>
                <c:pt idx="59">
                  <c:v>1.96</c:v>
                </c:pt>
                <c:pt idx="60">
                  <c:v>1.83</c:v>
                </c:pt>
                <c:pt idx="61">
                  <c:v>1.96</c:v>
                </c:pt>
                <c:pt idx="62">
                  <c:v>1.83</c:v>
                </c:pt>
                <c:pt idx="63">
                  <c:v>1.96</c:v>
                </c:pt>
                <c:pt idx="64">
                  <c:v>1.91</c:v>
                </c:pt>
                <c:pt idx="65">
                  <c:v>2.04</c:v>
                </c:pt>
                <c:pt idx="66">
                  <c:v>2.16</c:v>
                </c:pt>
                <c:pt idx="67">
                  <c:v>2.2799999999999998</c:v>
                </c:pt>
                <c:pt idx="68">
                  <c:v>2.39</c:v>
                </c:pt>
                <c:pt idx="69">
                  <c:v>2.5099999999999998</c:v>
                </c:pt>
                <c:pt idx="70">
                  <c:v>2.62</c:v>
                </c:pt>
                <c:pt idx="71">
                  <c:v>2.73</c:v>
                </c:pt>
                <c:pt idx="72">
                  <c:v>2.84</c:v>
                </c:pt>
                <c:pt idx="73">
                  <c:v>2.94</c:v>
                </c:pt>
                <c:pt idx="74">
                  <c:v>3.05</c:v>
                </c:pt>
                <c:pt idx="75">
                  <c:v>3.1</c:v>
                </c:pt>
                <c:pt idx="76">
                  <c:v>2.33</c:v>
                </c:pt>
                <c:pt idx="77">
                  <c:v>1.61</c:v>
                </c:pt>
                <c:pt idx="78">
                  <c:v>0.96</c:v>
                </c:pt>
                <c:pt idx="79">
                  <c:v>0.42</c:v>
                </c:pt>
                <c:pt idx="80">
                  <c:v>0.02</c:v>
                </c:pt>
                <c:pt idx="81">
                  <c:v>-0.16</c:v>
                </c:pt>
                <c:pt idx="82">
                  <c:v>-0.13</c:v>
                </c:pt>
                <c:pt idx="83">
                  <c:v>-0.03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3"/>
          <c:tx>
            <c:v>L^Q (Sim)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1.9182581495158499E-3</c:v>
                </c:pt>
                <c:pt idx="19">
                  <c:v>4.76423550247062E-2</c:v>
                </c:pt>
                <c:pt idx="20">
                  <c:v>0.184536046735193</c:v>
                </c:pt>
                <c:pt idx="21">
                  <c:v>0.35850451412888701</c:v>
                </c:pt>
                <c:pt idx="22">
                  <c:v>0.53634025336729096</c:v>
                </c:pt>
                <c:pt idx="23">
                  <c:v>0.70969853257654703</c:v>
                </c:pt>
                <c:pt idx="24">
                  <c:v>0.87131054884301795</c:v>
                </c:pt>
                <c:pt idx="25">
                  <c:v>1.0263040804179799</c:v>
                </c:pt>
                <c:pt idx="26">
                  <c:v>1.1758812660874101</c:v>
                </c:pt>
                <c:pt idx="27">
                  <c:v>1.3164984655269401</c:v>
                </c:pt>
                <c:pt idx="28">
                  <c:v>1.4506642333719899</c:v>
                </c:pt>
                <c:pt idx="29">
                  <c:v>1.5834293497735099</c:v>
                </c:pt>
                <c:pt idx="30">
                  <c:v>1.70966614511714</c:v>
                </c:pt>
                <c:pt idx="31">
                  <c:v>1.8291821630976299</c:v>
                </c:pt>
                <c:pt idx="32">
                  <c:v>1.9450492360770399</c:v>
                </c:pt>
                <c:pt idx="33">
                  <c:v>2.01862091501977</c:v>
                </c:pt>
                <c:pt idx="34">
                  <c:v>2.0904642207105599</c:v>
                </c:pt>
                <c:pt idx="35">
                  <c:v>2.09319141758162</c:v>
                </c:pt>
                <c:pt idx="36">
                  <c:v>2.0985265087210001</c:v>
                </c:pt>
                <c:pt idx="37">
                  <c:v>2.1054163755023501</c:v>
                </c:pt>
                <c:pt idx="38">
                  <c:v>2.11413533624274</c:v>
                </c:pt>
                <c:pt idx="39">
                  <c:v>2.12455363499318</c:v>
                </c:pt>
                <c:pt idx="40">
                  <c:v>2.1367103924873998</c:v>
                </c:pt>
                <c:pt idx="41">
                  <c:v>2.14870317761368</c:v>
                </c:pt>
                <c:pt idx="42">
                  <c:v>2.1621557791036601</c:v>
                </c:pt>
                <c:pt idx="43">
                  <c:v>2.1738877170822501</c:v>
                </c:pt>
                <c:pt idx="44">
                  <c:v>2.1854514626884902</c:v>
                </c:pt>
                <c:pt idx="45">
                  <c:v>2.1964563316398</c:v>
                </c:pt>
                <c:pt idx="46">
                  <c:v>2.2072741877828199</c:v>
                </c:pt>
                <c:pt idx="47">
                  <c:v>2.21852453452499</c:v>
                </c:pt>
                <c:pt idx="48">
                  <c:v>2.2301015731102698</c:v>
                </c:pt>
                <c:pt idx="49">
                  <c:v>2.2389442908547101</c:v>
                </c:pt>
                <c:pt idx="50">
                  <c:v>2.2507273199487399</c:v>
                </c:pt>
                <c:pt idx="51">
                  <c:v>2.2595497185429898</c:v>
                </c:pt>
                <c:pt idx="52">
                  <c:v>2.2697960153874401</c:v>
                </c:pt>
                <c:pt idx="53">
                  <c:v>2.2792258609448899</c:v>
                </c:pt>
                <c:pt idx="54">
                  <c:v>2.2888259536348299</c:v>
                </c:pt>
                <c:pt idx="55">
                  <c:v>2.2976148341890701</c:v>
                </c:pt>
                <c:pt idx="56">
                  <c:v>2.3073269277337598</c:v>
                </c:pt>
                <c:pt idx="57">
                  <c:v>2.3173915363039601</c:v>
                </c:pt>
                <c:pt idx="58">
                  <c:v>2.3267973650674598</c:v>
                </c:pt>
                <c:pt idx="59">
                  <c:v>2.33524009634576</c:v>
                </c:pt>
                <c:pt idx="60">
                  <c:v>2.3448817044797101</c:v>
                </c:pt>
                <c:pt idx="61">
                  <c:v>2.3532179409584799</c:v>
                </c:pt>
                <c:pt idx="62">
                  <c:v>2.3619365501176701</c:v>
                </c:pt>
                <c:pt idx="63">
                  <c:v>2.3691320179659199</c:v>
                </c:pt>
                <c:pt idx="64">
                  <c:v>2.3778266092420601</c:v>
                </c:pt>
                <c:pt idx="65">
                  <c:v>2.4190644623820101</c:v>
                </c:pt>
                <c:pt idx="66">
                  <c:v>2.4584138454783901</c:v>
                </c:pt>
                <c:pt idx="67">
                  <c:v>2.5680247800261702</c:v>
                </c:pt>
                <c:pt idx="68">
                  <c:v>2.6761085340331898</c:v>
                </c:pt>
                <c:pt idx="69">
                  <c:v>2.7770899670304598</c:v>
                </c:pt>
                <c:pt idx="70">
                  <c:v>2.8745147632179302</c:v>
                </c:pt>
                <c:pt idx="71" formatCode="0.00E+00">
                  <c:v>2.9707884991603501</c:v>
                </c:pt>
                <c:pt idx="72" formatCode="0.00E+00">
                  <c:v>3.0672713549678399</c:v>
                </c:pt>
                <c:pt idx="73" formatCode="0.00E+00">
                  <c:v>3.1602891684299301</c:v>
                </c:pt>
                <c:pt idx="74" formatCode="0.00E+00">
                  <c:v>3.2484274247005702</c:v>
                </c:pt>
                <c:pt idx="75" formatCode="0.00E+00">
                  <c:v>3.33388364375288</c:v>
                </c:pt>
                <c:pt idx="76" formatCode="0.00E+00">
                  <c:v>3.3941206816478302</c:v>
                </c:pt>
                <c:pt idx="77" formatCode="0.00E+00">
                  <c:v>3.0824977996602501</c:v>
                </c:pt>
                <c:pt idx="78" formatCode="0.00E+00">
                  <c:v>2.49532031346296</c:v>
                </c:pt>
                <c:pt idx="79" formatCode="0.00E+00">
                  <c:v>2.0076900846607502</c:v>
                </c:pt>
                <c:pt idx="80" formatCode="0.00E+00">
                  <c:v>1.60733329617969</c:v>
                </c:pt>
                <c:pt idx="81" formatCode="0.00E+00">
                  <c:v>1.2806469711264601</c:v>
                </c:pt>
                <c:pt idx="82" formatCode="0.00E+00">
                  <c:v>1.01542989967752</c:v>
                </c:pt>
                <c:pt idx="83" formatCode="0.00E+00">
                  <c:v>0.80179554988768298</c:v>
                </c:pt>
                <c:pt idx="84" formatCode="0.00E+00">
                  <c:v>0.62984079108281898</c:v>
                </c:pt>
                <c:pt idx="85" formatCode="0.00E+00">
                  <c:v>0.49329546398625401</c:v>
                </c:pt>
                <c:pt idx="86" formatCode="0.00E+00">
                  <c:v>0.38510023597915999</c:v>
                </c:pt>
                <c:pt idx="87" formatCode="0.00E+00">
                  <c:v>0.29946721044226599</c:v>
                </c:pt>
                <c:pt idx="88" formatCode="0.00E+00">
                  <c:v>0.23204591582595999</c:v>
                </c:pt>
                <c:pt idx="89" formatCode="0.00E+00">
                  <c:v>0.178989568919454</c:v>
                </c:pt>
                <c:pt idx="90" formatCode="0.00E+00">
                  <c:v>0.137672855250599</c:v>
                </c:pt>
                <c:pt idx="91" formatCode="0.00E+00">
                  <c:v>0.10548622200427001</c:v>
                </c:pt>
                <c:pt idx="92" formatCode="0.00E+00">
                  <c:v>8.0724010760882703E-2</c:v>
                </c:pt>
                <c:pt idx="93" formatCode="0.00E+00">
                  <c:v>6.1603429379425402E-2</c:v>
                </c:pt>
                <c:pt idx="94" formatCode="0.00E+00">
                  <c:v>4.6829702857094903E-2</c:v>
                </c:pt>
                <c:pt idx="95" formatCode="0.00E+00">
                  <c:v>3.5347119901667702E-2</c:v>
                </c:pt>
                <c:pt idx="96" formatCode="0.00E+00">
                  <c:v>2.6585355836299601E-2</c:v>
                </c:pt>
                <c:pt idx="97" formatCode="0.00E+00">
                  <c:v>1.9865442621903699E-2</c:v>
                </c:pt>
                <c:pt idx="98" formatCode="0.00E+00">
                  <c:v>1.48808595867163E-2</c:v>
                </c:pt>
                <c:pt idx="99" formatCode="0.00E+00">
                  <c:v>1.10492474048296E-2</c:v>
                </c:pt>
                <c:pt idx="100" formatCode="0.00E+00">
                  <c:v>8.16547895624508E-3</c:v>
                </c:pt>
              </c:numCache>
            </c:numRef>
          </c:yVal>
          <c:smooth val="1"/>
        </c:ser>
        <c:ser>
          <c:idx val="3"/>
          <c:order val="0"/>
          <c:tx>
            <c:v>L^S (SBC)</c:v>
          </c:tx>
          <c:spPr>
            <a:ln w="2540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SBC!$I$2:$I$102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0.22</c:v>
                </c:pt>
                <c:pt idx="19">
                  <c:v>0.46</c:v>
                </c:pt>
                <c:pt idx="20">
                  <c:v>0.69</c:v>
                </c:pt>
                <c:pt idx="21">
                  <c:v>0.91</c:v>
                </c:pt>
                <c:pt idx="22">
                  <c:v>1.1100000000000001</c:v>
                </c:pt>
                <c:pt idx="23">
                  <c:v>1.3</c:v>
                </c:pt>
                <c:pt idx="24">
                  <c:v>1.49</c:v>
                </c:pt>
                <c:pt idx="25">
                  <c:v>1.66</c:v>
                </c:pt>
                <c:pt idx="26">
                  <c:v>1.82</c:v>
                </c:pt>
                <c:pt idx="27">
                  <c:v>1.98</c:v>
                </c:pt>
                <c:pt idx="28">
                  <c:v>2.14</c:v>
                </c:pt>
                <c:pt idx="29">
                  <c:v>2.2799999999999998</c:v>
                </c:pt>
                <c:pt idx="30">
                  <c:v>2.4300000000000002</c:v>
                </c:pt>
                <c:pt idx="31">
                  <c:v>2.57</c:v>
                </c:pt>
                <c:pt idx="32">
                  <c:v>2.6</c:v>
                </c:pt>
                <c:pt idx="33">
                  <c:v>2.74</c:v>
                </c:pt>
                <c:pt idx="34">
                  <c:v>2.6</c:v>
                </c:pt>
                <c:pt idx="35">
                  <c:v>2.74</c:v>
                </c:pt>
                <c:pt idx="36">
                  <c:v>2.6</c:v>
                </c:pt>
                <c:pt idx="37">
                  <c:v>2.74</c:v>
                </c:pt>
                <c:pt idx="38">
                  <c:v>2.6</c:v>
                </c:pt>
                <c:pt idx="39">
                  <c:v>2.74</c:v>
                </c:pt>
                <c:pt idx="40">
                  <c:v>2.6</c:v>
                </c:pt>
                <c:pt idx="41">
                  <c:v>2.74</c:v>
                </c:pt>
                <c:pt idx="42">
                  <c:v>2.6</c:v>
                </c:pt>
                <c:pt idx="43">
                  <c:v>2.74</c:v>
                </c:pt>
                <c:pt idx="44">
                  <c:v>2.6</c:v>
                </c:pt>
                <c:pt idx="45">
                  <c:v>2.74</c:v>
                </c:pt>
                <c:pt idx="46">
                  <c:v>2.6</c:v>
                </c:pt>
                <c:pt idx="47">
                  <c:v>2.74</c:v>
                </c:pt>
                <c:pt idx="48">
                  <c:v>2.6</c:v>
                </c:pt>
                <c:pt idx="49">
                  <c:v>2.74</c:v>
                </c:pt>
                <c:pt idx="50">
                  <c:v>2.6</c:v>
                </c:pt>
                <c:pt idx="51">
                  <c:v>2.74</c:v>
                </c:pt>
                <c:pt idx="52">
                  <c:v>2.6</c:v>
                </c:pt>
                <c:pt idx="53">
                  <c:v>2.74</c:v>
                </c:pt>
                <c:pt idx="54">
                  <c:v>2.6</c:v>
                </c:pt>
                <c:pt idx="55">
                  <c:v>2.74</c:v>
                </c:pt>
                <c:pt idx="56">
                  <c:v>2.6</c:v>
                </c:pt>
                <c:pt idx="57">
                  <c:v>2.74</c:v>
                </c:pt>
                <c:pt idx="58">
                  <c:v>2.6</c:v>
                </c:pt>
                <c:pt idx="59">
                  <c:v>2.74</c:v>
                </c:pt>
                <c:pt idx="60">
                  <c:v>2.6</c:v>
                </c:pt>
                <c:pt idx="61">
                  <c:v>2.74</c:v>
                </c:pt>
                <c:pt idx="62">
                  <c:v>2.6</c:v>
                </c:pt>
                <c:pt idx="63">
                  <c:v>2.74</c:v>
                </c:pt>
                <c:pt idx="64">
                  <c:v>2.69</c:v>
                </c:pt>
                <c:pt idx="65">
                  <c:v>2.82</c:v>
                </c:pt>
                <c:pt idx="66">
                  <c:v>2.95</c:v>
                </c:pt>
                <c:pt idx="67">
                  <c:v>3.07</c:v>
                </c:pt>
                <c:pt idx="68">
                  <c:v>3.19</c:v>
                </c:pt>
                <c:pt idx="69">
                  <c:v>3.31</c:v>
                </c:pt>
                <c:pt idx="70">
                  <c:v>3.43</c:v>
                </c:pt>
                <c:pt idx="71">
                  <c:v>3.54</c:v>
                </c:pt>
                <c:pt idx="72">
                  <c:v>3.65</c:v>
                </c:pt>
                <c:pt idx="73">
                  <c:v>3.76</c:v>
                </c:pt>
                <c:pt idx="74">
                  <c:v>3.87</c:v>
                </c:pt>
                <c:pt idx="75">
                  <c:v>3.92</c:v>
                </c:pt>
                <c:pt idx="76">
                  <c:v>3.13</c:v>
                </c:pt>
                <c:pt idx="77">
                  <c:v>2.37</c:v>
                </c:pt>
                <c:pt idx="78">
                  <c:v>1.67</c:v>
                </c:pt>
                <c:pt idx="79">
                  <c:v>1.04</c:v>
                </c:pt>
                <c:pt idx="80">
                  <c:v>0.53</c:v>
                </c:pt>
                <c:pt idx="81">
                  <c:v>0.18</c:v>
                </c:pt>
                <c:pt idx="82">
                  <c:v>0.03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L^S (Sim)</c:v>
          </c:tx>
          <c:spPr>
            <a:ln w="25400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Simulation!$N$2:$N$102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5.1914523555424502E-2</c:v>
                </c:pt>
                <c:pt idx="19">
                  <c:v>0.28261251326487602</c:v>
                </c:pt>
                <c:pt idx="20">
                  <c:v>0.60255749360038102</c:v>
                </c:pt>
                <c:pt idx="21">
                  <c:v>0.88216570811537598</c:v>
                </c:pt>
                <c:pt idx="22">
                  <c:v>1.1255472594853499</c:v>
                </c:pt>
                <c:pt idx="23">
                  <c:v>1.3441925781606501</c:v>
                </c:pt>
                <c:pt idx="24">
                  <c:v>1.53834895173713</c:v>
                </c:pt>
                <c:pt idx="25">
                  <c:v>1.7186408556416599</c:v>
                </c:pt>
                <c:pt idx="26">
                  <c:v>1.88921636407155</c:v>
                </c:pt>
                <c:pt idx="27">
                  <c:v>2.0465164185497402</c:v>
                </c:pt>
                <c:pt idx="28">
                  <c:v>2.19486542820639</c:v>
                </c:pt>
                <c:pt idx="29">
                  <c:v>2.3405788287616098</c:v>
                </c:pt>
                <c:pt idx="30">
                  <c:v>2.4772882367808902</c:v>
                </c:pt>
                <c:pt idx="31">
                  <c:v>2.6056724726278602</c:v>
                </c:pt>
                <c:pt idx="32">
                  <c:v>2.7293919122028401</c:v>
                </c:pt>
                <c:pt idx="33">
                  <c:v>2.8021796074015999</c:v>
                </c:pt>
                <c:pt idx="34">
                  <c:v>2.87744112723971</c:v>
                </c:pt>
                <c:pt idx="35">
                  <c:v>2.8675108977111798</c:v>
                </c:pt>
                <c:pt idx="36">
                  <c:v>2.8721844037850799</c:v>
                </c:pt>
                <c:pt idx="37">
                  <c:v>2.87223300306231</c:v>
                </c:pt>
                <c:pt idx="38">
                  <c:v>2.8826487190208199</c:v>
                </c:pt>
                <c:pt idx="39">
                  <c:v>2.8876318931817102</c:v>
                </c:pt>
                <c:pt idx="40">
                  <c:v>2.9028020026790502</c:v>
                </c:pt>
                <c:pt idx="41">
                  <c:v>2.9102292024093801</c:v>
                </c:pt>
                <c:pt idx="42">
                  <c:v>2.9276915120370002</c:v>
                </c:pt>
                <c:pt idx="43">
                  <c:v>2.9352857157118302</c:v>
                </c:pt>
                <c:pt idx="44">
                  <c:v>2.9505469991092901</c:v>
                </c:pt>
                <c:pt idx="45">
                  <c:v>2.95723851792</c:v>
                </c:pt>
                <c:pt idx="46">
                  <c:v>2.9726198157224499</c:v>
                </c:pt>
                <c:pt idx="47">
                  <c:v>2.9803310233451499</c:v>
                </c:pt>
                <c:pt idx="48">
                  <c:v>2.9962282151964201</c:v>
                </c:pt>
                <c:pt idx="49">
                  <c:v>3.0011006698196301</c:v>
                </c:pt>
                <c:pt idx="50">
                  <c:v>3.01687068669706</c:v>
                </c:pt>
                <c:pt idx="51">
                  <c:v>3.0216728582957999</c:v>
                </c:pt>
                <c:pt idx="52">
                  <c:v>3.0361220376562899</c:v>
                </c:pt>
                <c:pt idx="53">
                  <c:v>3.0420912308683201</c:v>
                </c:pt>
                <c:pt idx="54">
                  <c:v>3.05540758851365</c:v>
                </c:pt>
                <c:pt idx="55">
                  <c:v>3.0605092455265801</c:v>
                </c:pt>
                <c:pt idx="56">
                  <c:v>3.0744005124399099</c:v>
                </c:pt>
                <c:pt idx="57">
                  <c:v>3.0808026163207498</c:v>
                </c:pt>
                <c:pt idx="58">
                  <c:v>3.0946615121617098</c:v>
                </c:pt>
                <c:pt idx="59">
                  <c:v>3.09967398094531</c:v>
                </c:pt>
                <c:pt idx="60">
                  <c:v>3.1133692778150199</c:v>
                </c:pt>
                <c:pt idx="61">
                  <c:v>3.1178349711809701</c:v>
                </c:pt>
                <c:pt idx="62">
                  <c:v>3.1306250628188899</c:v>
                </c:pt>
                <c:pt idx="63">
                  <c:v>3.1340581177959601</c:v>
                </c:pt>
                <c:pt idx="64">
                  <c:v>3.14666312406536</c:v>
                </c:pt>
                <c:pt idx="65">
                  <c:v>3.1922845918687401</c:v>
                </c:pt>
                <c:pt idx="66">
                  <c:v>3.2382826410547101</c:v>
                </c:pt>
                <c:pt idx="67">
                  <c:v>3.3638847366518498</c:v>
                </c:pt>
                <c:pt idx="68">
                  <c:v>3.4825202438412299</c:v>
                </c:pt>
                <c:pt idx="69">
                  <c:v>3.5914204564355501</c:v>
                </c:pt>
                <c:pt idx="70">
                  <c:v>3.6953844001576899</c:v>
                </c:pt>
                <c:pt idx="71">
                  <c:v>3.7973314600088202</c:v>
                </c:pt>
                <c:pt idx="72">
                  <c:v>3.89898114063686</c:v>
                </c:pt>
                <c:pt idx="73" formatCode="0.00E+00">
                  <c:v>3.9965815099820698</c:v>
                </c:pt>
                <c:pt idx="74" formatCode="0.00E+00">
                  <c:v>4.0886920539012603</c:v>
                </c:pt>
                <c:pt idx="75" formatCode="0.00E+00">
                  <c:v>4.1771321363842997</c:v>
                </c:pt>
                <c:pt idx="76" formatCode="0.00E+00">
                  <c:v>4.2373264928449403</c:v>
                </c:pt>
                <c:pt idx="77" formatCode="0.00E+00">
                  <c:v>3.8574582346834601</c:v>
                </c:pt>
                <c:pt idx="78" formatCode="0.00E+00">
                  <c:v>3.14600519168593</c:v>
                </c:pt>
                <c:pt idx="79" formatCode="0.00E+00">
                  <c:v>2.5498390377335101</c:v>
                </c:pt>
                <c:pt idx="80" formatCode="0.00E+00">
                  <c:v>2.0557730513171202</c:v>
                </c:pt>
                <c:pt idx="81" formatCode="0.00E+00">
                  <c:v>1.64874126792798</c:v>
                </c:pt>
                <c:pt idx="82" formatCode="0.00E+00">
                  <c:v>1.3155092216219599</c:v>
                </c:pt>
                <c:pt idx="83" formatCode="0.00E+00">
                  <c:v>1.04486246535507</c:v>
                </c:pt>
                <c:pt idx="84" formatCode="0.00E+00">
                  <c:v>0.82573201347994996</c:v>
                </c:pt>
                <c:pt idx="85" formatCode="0.00E+00">
                  <c:v>0.65021452528146595</c:v>
                </c:pt>
                <c:pt idx="86" formatCode="0.00E+00">
                  <c:v>0.510069437457212</c:v>
                </c:pt>
                <c:pt idx="87" formatCode="0.00E+00">
                  <c:v>0.39838635773270697</c:v>
                </c:pt>
                <c:pt idx="88" formatCode="0.00E+00">
                  <c:v>0.31029908192355399</c:v>
                </c:pt>
                <c:pt idx="89" formatCode="0.00E+00">
                  <c:v>0.240583646762909</c:v>
                </c:pt>
                <c:pt idx="90" formatCode="0.00E+00">
                  <c:v>0.185907432884615</c:v>
                </c:pt>
                <c:pt idx="91" formatCode="0.00E+00">
                  <c:v>0.14316474243640101</c:v>
                </c:pt>
                <c:pt idx="92" formatCode="0.00E+00">
                  <c:v>0.110012619097859</c:v>
                </c:pt>
                <c:pt idx="93" formatCode="0.00E+00">
                  <c:v>8.4378406764105907E-2</c:v>
                </c:pt>
                <c:pt idx="94" formatCode="0.00E+00">
                  <c:v>6.4373584760680794E-2</c:v>
                </c:pt>
                <c:pt idx="95" formatCode="0.00E+00">
                  <c:v>4.8820967045676601E-2</c:v>
                </c:pt>
                <c:pt idx="96" formatCode="0.00E+00">
                  <c:v>3.6960742601599199E-2</c:v>
                </c:pt>
                <c:pt idx="97" formatCode="0.00E+00">
                  <c:v>2.7806029885026801E-2</c:v>
                </c:pt>
                <c:pt idx="98" formatCode="0.00E+00">
                  <c:v>2.0932474407355298E-2</c:v>
                </c:pt>
                <c:pt idx="99" formatCode="0.00E+00">
                  <c:v>1.56615183555932E-2</c:v>
                </c:pt>
                <c:pt idx="100" formatCode="0.00E+00">
                  <c:v>1.1655579711450301E-2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53472"/>
        <c:axId val="104155392"/>
      </c:scatterChart>
      <c:valAx>
        <c:axId val="104153472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4155392"/>
        <c:crosses val="autoZero"/>
        <c:crossBetween val="midCat"/>
      </c:valAx>
      <c:valAx>
        <c:axId val="10415539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415347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X (SBC)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0.12</c:v>
                </c:pt>
                <c:pt idx="18">
                  <c:v>0.37</c:v>
                </c:pt>
                <c:pt idx="19">
                  <c:v>0.49</c:v>
                </c:pt>
                <c:pt idx="20">
                  <c:v>0.55000000000000004</c:v>
                </c:pt>
                <c:pt idx="21">
                  <c:v>0.6</c:v>
                </c:pt>
                <c:pt idx="22">
                  <c:v>0.64</c:v>
                </c:pt>
                <c:pt idx="23">
                  <c:v>0.66</c:v>
                </c:pt>
                <c:pt idx="24">
                  <c:v>0.68</c:v>
                </c:pt>
                <c:pt idx="25">
                  <c:v>0.7</c:v>
                </c:pt>
                <c:pt idx="26">
                  <c:v>0.72</c:v>
                </c:pt>
                <c:pt idx="27">
                  <c:v>0.73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  <c:pt idx="32">
                  <c:v>0.77</c:v>
                </c:pt>
                <c:pt idx="33">
                  <c:v>0.78</c:v>
                </c:pt>
                <c:pt idx="34">
                  <c:v>0.77</c:v>
                </c:pt>
                <c:pt idx="35">
                  <c:v>0.78</c:v>
                </c:pt>
                <c:pt idx="36">
                  <c:v>0.77</c:v>
                </c:pt>
                <c:pt idx="37">
                  <c:v>0.78</c:v>
                </c:pt>
                <c:pt idx="38">
                  <c:v>0.77</c:v>
                </c:pt>
                <c:pt idx="39">
                  <c:v>0.78</c:v>
                </c:pt>
                <c:pt idx="40">
                  <c:v>0.77</c:v>
                </c:pt>
                <c:pt idx="41">
                  <c:v>0.78</c:v>
                </c:pt>
                <c:pt idx="42">
                  <c:v>0.77</c:v>
                </c:pt>
                <c:pt idx="43">
                  <c:v>0.78</c:v>
                </c:pt>
                <c:pt idx="44">
                  <c:v>0.77</c:v>
                </c:pt>
                <c:pt idx="45">
                  <c:v>0.78</c:v>
                </c:pt>
                <c:pt idx="46">
                  <c:v>0.77</c:v>
                </c:pt>
                <c:pt idx="47">
                  <c:v>0.78</c:v>
                </c:pt>
                <c:pt idx="48">
                  <c:v>0.77</c:v>
                </c:pt>
                <c:pt idx="49">
                  <c:v>0.78</c:v>
                </c:pt>
                <c:pt idx="50">
                  <c:v>0.77</c:v>
                </c:pt>
                <c:pt idx="51">
                  <c:v>0.78</c:v>
                </c:pt>
                <c:pt idx="52">
                  <c:v>0.77</c:v>
                </c:pt>
                <c:pt idx="53">
                  <c:v>0.78</c:v>
                </c:pt>
                <c:pt idx="54">
                  <c:v>0.77</c:v>
                </c:pt>
                <c:pt idx="55">
                  <c:v>0.78</c:v>
                </c:pt>
                <c:pt idx="56">
                  <c:v>0.77</c:v>
                </c:pt>
                <c:pt idx="57">
                  <c:v>0.78</c:v>
                </c:pt>
                <c:pt idx="58">
                  <c:v>0.77</c:v>
                </c:pt>
                <c:pt idx="59">
                  <c:v>0.78</c:v>
                </c:pt>
                <c:pt idx="60">
                  <c:v>0.77</c:v>
                </c:pt>
                <c:pt idx="61">
                  <c:v>0.78</c:v>
                </c:pt>
                <c:pt idx="62">
                  <c:v>0.77</c:v>
                </c:pt>
                <c:pt idx="63">
                  <c:v>0.78</c:v>
                </c:pt>
                <c:pt idx="64">
                  <c:v>0.78</c:v>
                </c:pt>
                <c:pt idx="65">
                  <c:v>0.78</c:v>
                </c:pt>
                <c:pt idx="66">
                  <c:v>0.79</c:v>
                </c:pt>
                <c:pt idx="67">
                  <c:v>0.79</c:v>
                </c:pt>
                <c:pt idx="68">
                  <c:v>0.8</c:v>
                </c:pt>
                <c:pt idx="69">
                  <c:v>0.8</c:v>
                </c:pt>
                <c:pt idx="70">
                  <c:v>0.81</c:v>
                </c:pt>
                <c:pt idx="71">
                  <c:v>0.81</c:v>
                </c:pt>
                <c:pt idx="72">
                  <c:v>0.82</c:v>
                </c:pt>
                <c:pt idx="73">
                  <c:v>0.82</c:v>
                </c:pt>
                <c:pt idx="74">
                  <c:v>0.82</c:v>
                </c:pt>
                <c:pt idx="75">
                  <c:v>0.83</c:v>
                </c:pt>
                <c:pt idx="76">
                  <c:v>0.8</c:v>
                </c:pt>
                <c:pt idx="77">
                  <c:v>0.76</c:v>
                </c:pt>
                <c:pt idx="78">
                  <c:v>0.7</c:v>
                </c:pt>
                <c:pt idx="79">
                  <c:v>0.62</c:v>
                </c:pt>
                <c:pt idx="80">
                  <c:v>0.51</c:v>
                </c:pt>
                <c:pt idx="81">
                  <c:v>0.35</c:v>
                </c:pt>
                <c:pt idx="82">
                  <c:v>0.16</c:v>
                </c:pt>
                <c:pt idx="83">
                  <c:v>0.03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X (Sim)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Simulation!$AJ$2:$AJ$102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5.0009999999999999E-2</c:v>
                </c:pt>
                <c:pt idx="19">
                  <c:v>0.235457</c:v>
                </c:pt>
                <c:pt idx="20">
                  <c:v>0.417377</c:v>
                </c:pt>
                <c:pt idx="21">
                  <c:v>0.52378899999999995</c:v>
                </c:pt>
                <c:pt idx="22">
                  <c:v>0.58783799999999997</c:v>
                </c:pt>
                <c:pt idx="23">
                  <c:v>0.63471299999999997</c:v>
                </c:pt>
                <c:pt idx="24">
                  <c:v>0.66547000000000001</c:v>
                </c:pt>
                <c:pt idx="25">
                  <c:v>0.69342800000000004</c:v>
                </c:pt>
                <c:pt idx="26">
                  <c:v>0.71313499999999996</c:v>
                </c:pt>
                <c:pt idx="27">
                  <c:v>0.72896899999999998</c:v>
                </c:pt>
                <c:pt idx="28">
                  <c:v>0.74436199999999997</c:v>
                </c:pt>
                <c:pt idx="29">
                  <c:v>0.75731300000000001</c:v>
                </c:pt>
                <c:pt idx="30">
                  <c:v>0.76705500000000004</c:v>
                </c:pt>
                <c:pt idx="31">
                  <c:v>0.77764100000000003</c:v>
                </c:pt>
                <c:pt idx="32">
                  <c:v>0.78412800000000005</c:v>
                </c:pt>
                <c:pt idx="33">
                  <c:v>0.78447999999999996</c:v>
                </c:pt>
                <c:pt idx="34">
                  <c:v>0.78805000000000003</c:v>
                </c:pt>
                <c:pt idx="35">
                  <c:v>0.77413100000000001</c:v>
                </c:pt>
                <c:pt idx="36">
                  <c:v>0.77447600000000005</c:v>
                </c:pt>
                <c:pt idx="37">
                  <c:v>0.76713799999999999</c:v>
                </c:pt>
                <c:pt idx="38">
                  <c:v>0.76955499999999999</c:v>
                </c:pt>
                <c:pt idx="39">
                  <c:v>0.76286299999999996</c:v>
                </c:pt>
                <c:pt idx="40">
                  <c:v>0.76590000000000003</c:v>
                </c:pt>
                <c:pt idx="41">
                  <c:v>0.75983299999999998</c:v>
                </c:pt>
                <c:pt idx="42">
                  <c:v>0.76605000000000001</c:v>
                </c:pt>
                <c:pt idx="43">
                  <c:v>0.76192400000000005</c:v>
                </c:pt>
                <c:pt idx="44">
                  <c:v>0.76554699999999998</c:v>
                </c:pt>
                <c:pt idx="45">
                  <c:v>0.76198900000000003</c:v>
                </c:pt>
                <c:pt idx="46">
                  <c:v>0.76475300000000002</c:v>
                </c:pt>
                <c:pt idx="47">
                  <c:v>0.76203799999999999</c:v>
                </c:pt>
                <c:pt idx="48">
                  <c:v>0.76498999999999995</c:v>
                </c:pt>
                <c:pt idx="49">
                  <c:v>0.761019</c:v>
                </c:pt>
                <c:pt idx="50">
                  <c:v>0.76495299999999999</c:v>
                </c:pt>
                <c:pt idx="51">
                  <c:v>0.76346199999999997</c:v>
                </c:pt>
                <c:pt idx="52">
                  <c:v>0.76619300000000001</c:v>
                </c:pt>
                <c:pt idx="53">
                  <c:v>0.76279600000000003</c:v>
                </c:pt>
                <c:pt idx="54">
                  <c:v>0.76518600000000003</c:v>
                </c:pt>
                <c:pt idx="55">
                  <c:v>0.76416600000000001</c:v>
                </c:pt>
                <c:pt idx="56">
                  <c:v>0.76660499999999998</c:v>
                </c:pt>
                <c:pt idx="57">
                  <c:v>0.763548</c:v>
                </c:pt>
                <c:pt idx="58">
                  <c:v>0.76732800000000001</c:v>
                </c:pt>
                <c:pt idx="59">
                  <c:v>0.76536899999999997</c:v>
                </c:pt>
                <c:pt idx="60">
                  <c:v>0.76745699999999994</c:v>
                </c:pt>
                <c:pt idx="61">
                  <c:v>0.764239</c:v>
                </c:pt>
                <c:pt idx="62">
                  <c:v>0.76891399999999999</c:v>
                </c:pt>
                <c:pt idx="63">
                  <c:v>0.76564299999999996</c:v>
                </c:pt>
                <c:pt idx="64">
                  <c:v>0.76788900000000004</c:v>
                </c:pt>
                <c:pt idx="65">
                  <c:v>0.77344999999999997</c:v>
                </c:pt>
                <c:pt idx="66">
                  <c:v>0.780142</c:v>
                </c:pt>
                <c:pt idx="67">
                  <c:v>0.79483999999999999</c:v>
                </c:pt>
                <c:pt idx="68">
                  <c:v>0.80633600000000005</c:v>
                </c:pt>
                <c:pt idx="69">
                  <c:v>0.81418699999999999</c:v>
                </c:pt>
                <c:pt idx="70">
                  <c:v>0.81934200000000001</c:v>
                </c:pt>
                <c:pt idx="71">
                  <c:v>0.82700300000000004</c:v>
                </c:pt>
                <c:pt idx="72">
                  <c:v>0.83035400000000004</c:v>
                </c:pt>
                <c:pt idx="73">
                  <c:v>0.83649499999999999</c:v>
                </c:pt>
                <c:pt idx="74">
                  <c:v>0.83979499999999996</c:v>
                </c:pt>
                <c:pt idx="75">
                  <c:v>0.84378399999999998</c:v>
                </c:pt>
                <c:pt idx="76">
                  <c:v>0.84341999999999995</c:v>
                </c:pt>
                <c:pt idx="77">
                  <c:v>0.77464100000000002</c:v>
                </c:pt>
                <c:pt idx="78">
                  <c:v>0.65103100000000003</c:v>
                </c:pt>
                <c:pt idx="79">
                  <c:v>0.54302399999999995</c:v>
                </c:pt>
                <c:pt idx="80">
                  <c:v>0.44833899999999999</c:v>
                </c:pt>
                <c:pt idx="81">
                  <c:v>0.36758099999999999</c:v>
                </c:pt>
                <c:pt idx="82">
                  <c:v>0.30092999999999998</c:v>
                </c:pt>
                <c:pt idx="83">
                  <c:v>0.24302099999999999</c:v>
                </c:pt>
                <c:pt idx="84">
                  <c:v>0.195882</c:v>
                </c:pt>
                <c:pt idx="85">
                  <c:v>0.156415</c:v>
                </c:pt>
                <c:pt idx="86">
                  <c:v>0.125301</c:v>
                </c:pt>
                <c:pt idx="87">
                  <c:v>9.8649000000000001E-2</c:v>
                </c:pt>
                <c:pt idx="88">
                  <c:v>7.8462000000000004E-2</c:v>
                </c:pt>
                <c:pt idx="89">
                  <c:v>6.1546999999999998E-2</c:v>
                </c:pt>
                <c:pt idx="90">
                  <c:v>4.8318E-2</c:v>
                </c:pt>
                <c:pt idx="91">
                  <c:v>3.7642000000000002E-2</c:v>
                </c:pt>
                <c:pt idx="92">
                  <c:v>2.9059000000000001E-2</c:v>
                </c:pt>
                <c:pt idx="93">
                  <c:v>2.2454000000000002E-2</c:v>
                </c:pt>
                <c:pt idx="94">
                  <c:v>1.7600000000000001E-2</c:v>
                </c:pt>
                <c:pt idx="95">
                  <c:v>1.3675E-2</c:v>
                </c:pt>
                <c:pt idx="96">
                  <c:v>1.0401000000000001E-2</c:v>
                </c:pt>
                <c:pt idx="97">
                  <c:v>7.8910000000000004E-3</c:v>
                </c:pt>
                <c:pt idx="98">
                  <c:v>5.9410000000000001E-3</c:v>
                </c:pt>
                <c:pt idx="99">
                  <c:v>4.6220000000000002E-3</c:v>
                </c:pt>
                <c:pt idx="100">
                  <c:v>3.4499999999999999E-3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66336"/>
        <c:axId val="103568512"/>
      </c:scatterChart>
      <c:valAx>
        <c:axId val="10356633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568512"/>
        <c:crosses val="autoZero"/>
        <c:crossBetween val="midCat"/>
      </c:valAx>
      <c:valAx>
        <c:axId val="1035685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56633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D (SBC)</c:v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0.65</c:v>
                </c:pt>
                <c:pt idx="21">
                  <c:v>0.9</c:v>
                </c:pt>
                <c:pt idx="22">
                  <c:v>0.65</c:v>
                </c:pt>
                <c:pt idx="23">
                  <c:v>0.9</c:v>
                </c:pt>
                <c:pt idx="24">
                  <c:v>0.65</c:v>
                </c:pt>
                <c:pt idx="25">
                  <c:v>0.9</c:v>
                </c:pt>
                <c:pt idx="26">
                  <c:v>0.65</c:v>
                </c:pt>
                <c:pt idx="27">
                  <c:v>0.9</c:v>
                </c:pt>
                <c:pt idx="28">
                  <c:v>0.65</c:v>
                </c:pt>
                <c:pt idx="29">
                  <c:v>0.9</c:v>
                </c:pt>
                <c:pt idx="30">
                  <c:v>0.65</c:v>
                </c:pt>
                <c:pt idx="31">
                  <c:v>0.9</c:v>
                </c:pt>
                <c:pt idx="32">
                  <c:v>0.65</c:v>
                </c:pt>
                <c:pt idx="33">
                  <c:v>0.9</c:v>
                </c:pt>
                <c:pt idx="34">
                  <c:v>0.65</c:v>
                </c:pt>
                <c:pt idx="35">
                  <c:v>0.9</c:v>
                </c:pt>
                <c:pt idx="36">
                  <c:v>0.65</c:v>
                </c:pt>
                <c:pt idx="37">
                  <c:v>0.9</c:v>
                </c:pt>
                <c:pt idx="38">
                  <c:v>0.65</c:v>
                </c:pt>
                <c:pt idx="39">
                  <c:v>0.9</c:v>
                </c:pt>
                <c:pt idx="40">
                  <c:v>0.65</c:v>
                </c:pt>
                <c:pt idx="41">
                  <c:v>0.9</c:v>
                </c:pt>
                <c:pt idx="42">
                  <c:v>0.65</c:v>
                </c:pt>
                <c:pt idx="43">
                  <c:v>0.9</c:v>
                </c:pt>
                <c:pt idx="44">
                  <c:v>0.65</c:v>
                </c:pt>
                <c:pt idx="45">
                  <c:v>0.9</c:v>
                </c:pt>
                <c:pt idx="46">
                  <c:v>0.65</c:v>
                </c:pt>
                <c:pt idx="47">
                  <c:v>0.9</c:v>
                </c:pt>
                <c:pt idx="48">
                  <c:v>0.65</c:v>
                </c:pt>
                <c:pt idx="49">
                  <c:v>0.9</c:v>
                </c:pt>
                <c:pt idx="50">
                  <c:v>0.65</c:v>
                </c:pt>
                <c:pt idx="51">
                  <c:v>0.9</c:v>
                </c:pt>
                <c:pt idx="52">
                  <c:v>0.65</c:v>
                </c:pt>
                <c:pt idx="53">
                  <c:v>0.9</c:v>
                </c:pt>
                <c:pt idx="54">
                  <c:v>0.65</c:v>
                </c:pt>
                <c:pt idx="55">
                  <c:v>0.9</c:v>
                </c:pt>
                <c:pt idx="56">
                  <c:v>0.65</c:v>
                </c:pt>
                <c:pt idx="57">
                  <c:v>0.9</c:v>
                </c:pt>
                <c:pt idx="58">
                  <c:v>0.65</c:v>
                </c:pt>
                <c:pt idx="59">
                  <c:v>0.9</c:v>
                </c:pt>
                <c:pt idx="60">
                  <c:v>0.65</c:v>
                </c:pt>
                <c:pt idx="61">
                  <c:v>0.9</c:v>
                </c:pt>
                <c:pt idx="62">
                  <c:v>0.65</c:v>
                </c:pt>
                <c:pt idx="63">
                  <c:v>0.9</c:v>
                </c:pt>
                <c:pt idx="64">
                  <c:v>0.65</c:v>
                </c:pt>
                <c:pt idx="65">
                  <c:v>0.9</c:v>
                </c:pt>
                <c:pt idx="66">
                  <c:v>0.65</c:v>
                </c:pt>
                <c:pt idx="67">
                  <c:v>0.9</c:v>
                </c:pt>
                <c:pt idx="68">
                  <c:v>0.65</c:v>
                </c:pt>
                <c:pt idx="69">
                  <c:v>0.9</c:v>
                </c:pt>
                <c:pt idx="70">
                  <c:v>0.65</c:v>
                </c:pt>
                <c:pt idx="71">
                  <c:v>0.9</c:v>
                </c:pt>
                <c:pt idx="72">
                  <c:v>0.65</c:v>
                </c:pt>
                <c:pt idx="73">
                  <c:v>0.9</c:v>
                </c:pt>
                <c:pt idx="74">
                  <c:v>0.65</c:v>
                </c:pt>
                <c:pt idx="75">
                  <c:v>0.9</c:v>
                </c:pt>
                <c:pt idx="76">
                  <c:v>0.65</c:v>
                </c:pt>
                <c:pt idx="77">
                  <c:v>0.9</c:v>
                </c:pt>
                <c:pt idx="78">
                  <c:v>0.65</c:v>
                </c:pt>
                <c:pt idx="79">
                  <c:v>0.9</c:v>
                </c:pt>
                <c:pt idx="80">
                  <c:v>0.65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D (Sim)</c:v>
          </c:tx>
          <c:spPr>
            <a:ln w="254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Simulation!$AH$2:$AH$102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0.65</c:v>
                </c:pt>
                <c:pt idx="22">
                  <c:v>0.9</c:v>
                </c:pt>
                <c:pt idx="23">
                  <c:v>0.65</c:v>
                </c:pt>
                <c:pt idx="24">
                  <c:v>0.9</c:v>
                </c:pt>
                <c:pt idx="25">
                  <c:v>0.65</c:v>
                </c:pt>
                <c:pt idx="26">
                  <c:v>0.9</c:v>
                </c:pt>
                <c:pt idx="27">
                  <c:v>0.65</c:v>
                </c:pt>
                <c:pt idx="28">
                  <c:v>0.9</c:v>
                </c:pt>
                <c:pt idx="29">
                  <c:v>0.65</c:v>
                </c:pt>
                <c:pt idx="30">
                  <c:v>0.9</c:v>
                </c:pt>
                <c:pt idx="31">
                  <c:v>0.65</c:v>
                </c:pt>
                <c:pt idx="32">
                  <c:v>0.9</c:v>
                </c:pt>
                <c:pt idx="33">
                  <c:v>0.65</c:v>
                </c:pt>
                <c:pt idx="34">
                  <c:v>0.9</c:v>
                </c:pt>
                <c:pt idx="35">
                  <c:v>0.65</c:v>
                </c:pt>
                <c:pt idx="36">
                  <c:v>0.9</c:v>
                </c:pt>
                <c:pt idx="37">
                  <c:v>0.65</c:v>
                </c:pt>
                <c:pt idx="38">
                  <c:v>0.9</c:v>
                </c:pt>
                <c:pt idx="39">
                  <c:v>0.65</c:v>
                </c:pt>
                <c:pt idx="40">
                  <c:v>0.9</c:v>
                </c:pt>
                <c:pt idx="41">
                  <c:v>0.65</c:v>
                </c:pt>
                <c:pt idx="42">
                  <c:v>0.9</c:v>
                </c:pt>
                <c:pt idx="43">
                  <c:v>0.65</c:v>
                </c:pt>
                <c:pt idx="44">
                  <c:v>0.9</c:v>
                </c:pt>
                <c:pt idx="45">
                  <c:v>0.65</c:v>
                </c:pt>
                <c:pt idx="46">
                  <c:v>0.9</c:v>
                </c:pt>
                <c:pt idx="47">
                  <c:v>0.65</c:v>
                </c:pt>
                <c:pt idx="48">
                  <c:v>0.9</c:v>
                </c:pt>
                <c:pt idx="49">
                  <c:v>0.65</c:v>
                </c:pt>
                <c:pt idx="50">
                  <c:v>0.9</c:v>
                </c:pt>
                <c:pt idx="51">
                  <c:v>0.65</c:v>
                </c:pt>
                <c:pt idx="52">
                  <c:v>0.9</c:v>
                </c:pt>
                <c:pt idx="53">
                  <c:v>0.65</c:v>
                </c:pt>
                <c:pt idx="54">
                  <c:v>0.9</c:v>
                </c:pt>
                <c:pt idx="55">
                  <c:v>0.65</c:v>
                </c:pt>
                <c:pt idx="56">
                  <c:v>0.9</c:v>
                </c:pt>
                <c:pt idx="57">
                  <c:v>0.65</c:v>
                </c:pt>
                <c:pt idx="58">
                  <c:v>0.9</c:v>
                </c:pt>
                <c:pt idx="59">
                  <c:v>0.65</c:v>
                </c:pt>
                <c:pt idx="60">
                  <c:v>0.9</c:v>
                </c:pt>
                <c:pt idx="61">
                  <c:v>0.65</c:v>
                </c:pt>
                <c:pt idx="62">
                  <c:v>0.9</c:v>
                </c:pt>
                <c:pt idx="63">
                  <c:v>0.65</c:v>
                </c:pt>
                <c:pt idx="64">
                  <c:v>0.9</c:v>
                </c:pt>
                <c:pt idx="65">
                  <c:v>0.65</c:v>
                </c:pt>
                <c:pt idx="66">
                  <c:v>0.9</c:v>
                </c:pt>
                <c:pt idx="67">
                  <c:v>0.65</c:v>
                </c:pt>
                <c:pt idx="68">
                  <c:v>0.9</c:v>
                </c:pt>
                <c:pt idx="69">
                  <c:v>0.65</c:v>
                </c:pt>
                <c:pt idx="70">
                  <c:v>0.9</c:v>
                </c:pt>
                <c:pt idx="71">
                  <c:v>0.65</c:v>
                </c:pt>
                <c:pt idx="72">
                  <c:v>0.9</c:v>
                </c:pt>
                <c:pt idx="73">
                  <c:v>0.65</c:v>
                </c:pt>
                <c:pt idx="74">
                  <c:v>0.9</c:v>
                </c:pt>
                <c:pt idx="75">
                  <c:v>0.65</c:v>
                </c:pt>
                <c:pt idx="76">
                  <c:v>0.9</c:v>
                </c:pt>
                <c:pt idx="77">
                  <c:v>0.65</c:v>
                </c:pt>
                <c:pt idx="78">
                  <c:v>0.9</c:v>
                </c:pt>
                <c:pt idx="79">
                  <c:v>0.65</c:v>
                </c:pt>
                <c:pt idx="80">
                  <c:v>0.9</c:v>
                </c:pt>
                <c:pt idx="81">
                  <c:v>0.65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20608"/>
        <c:axId val="103622528"/>
      </c:scatterChart>
      <c:valAx>
        <c:axId val="10362060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622528"/>
        <c:crosses val="autoZero"/>
        <c:crossBetween val="midCat"/>
      </c:valAx>
      <c:valAx>
        <c:axId val="10362252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62060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2"/>
          <c:tx>
            <c:strRef>
              <c:f>SBC!$D$1</c:f>
              <c:strCache>
                <c:ptCount val="1"/>
                <c:pt idx="0">
                  <c:v>D(t)</c:v>
                </c:pt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0.65</c:v>
                </c:pt>
                <c:pt idx="21">
                  <c:v>0.9</c:v>
                </c:pt>
                <c:pt idx="22">
                  <c:v>0.65</c:v>
                </c:pt>
                <c:pt idx="23">
                  <c:v>0.9</c:v>
                </c:pt>
                <c:pt idx="24">
                  <c:v>0.65</c:v>
                </c:pt>
                <c:pt idx="25">
                  <c:v>0.9</c:v>
                </c:pt>
                <c:pt idx="26">
                  <c:v>0.65</c:v>
                </c:pt>
                <c:pt idx="27">
                  <c:v>0.9</c:v>
                </c:pt>
                <c:pt idx="28">
                  <c:v>0.65</c:v>
                </c:pt>
                <c:pt idx="29">
                  <c:v>0.9</c:v>
                </c:pt>
                <c:pt idx="30">
                  <c:v>0.65</c:v>
                </c:pt>
                <c:pt idx="31">
                  <c:v>0.9</c:v>
                </c:pt>
                <c:pt idx="32">
                  <c:v>0.65</c:v>
                </c:pt>
                <c:pt idx="33">
                  <c:v>0.9</c:v>
                </c:pt>
                <c:pt idx="34">
                  <c:v>0.65</c:v>
                </c:pt>
                <c:pt idx="35">
                  <c:v>0.9</c:v>
                </c:pt>
                <c:pt idx="36">
                  <c:v>0.65</c:v>
                </c:pt>
                <c:pt idx="37">
                  <c:v>0.9</c:v>
                </c:pt>
                <c:pt idx="38">
                  <c:v>0.65</c:v>
                </c:pt>
                <c:pt idx="39">
                  <c:v>0.9</c:v>
                </c:pt>
                <c:pt idx="40">
                  <c:v>0.65</c:v>
                </c:pt>
                <c:pt idx="41">
                  <c:v>0.9</c:v>
                </c:pt>
                <c:pt idx="42">
                  <c:v>0.65</c:v>
                </c:pt>
                <c:pt idx="43">
                  <c:v>0.9</c:v>
                </c:pt>
                <c:pt idx="44">
                  <c:v>0.65</c:v>
                </c:pt>
                <c:pt idx="45">
                  <c:v>0.9</c:v>
                </c:pt>
                <c:pt idx="46">
                  <c:v>0.65</c:v>
                </c:pt>
                <c:pt idx="47">
                  <c:v>0.9</c:v>
                </c:pt>
                <c:pt idx="48">
                  <c:v>0.65</c:v>
                </c:pt>
                <c:pt idx="49">
                  <c:v>0.9</c:v>
                </c:pt>
                <c:pt idx="50">
                  <c:v>0.65</c:v>
                </c:pt>
                <c:pt idx="51">
                  <c:v>0.9</c:v>
                </c:pt>
                <c:pt idx="52">
                  <c:v>0.65</c:v>
                </c:pt>
                <c:pt idx="53">
                  <c:v>0.9</c:v>
                </c:pt>
                <c:pt idx="54">
                  <c:v>0.65</c:v>
                </c:pt>
                <c:pt idx="55">
                  <c:v>0.9</c:v>
                </c:pt>
                <c:pt idx="56">
                  <c:v>0.65</c:v>
                </c:pt>
                <c:pt idx="57">
                  <c:v>0.9</c:v>
                </c:pt>
                <c:pt idx="58">
                  <c:v>0.65</c:v>
                </c:pt>
                <c:pt idx="59">
                  <c:v>0.9</c:v>
                </c:pt>
                <c:pt idx="60">
                  <c:v>0.65</c:v>
                </c:pt>
                <c:pt idx="61">
                  <c:v>0.9</c:v>
                </c:pt>
                <c:pt idx="62">
                  <c:v>0.65</c:v>
                </c:pt>
                <c:pt idx="63">
                  <c:v>0.9</c:v>
                </c:pt>
                <c:pt idx="64">
                  <c:v>0.65</c:v>
                </c:pt>
                <c:pt idx="65">
                  <c:v>0.9</c:v>
                </c:pt>
                <c:pt idx="66">
                  <c:v>0.65</c:v>
                </c:pt>
                <c:pt idx="67">
                  <c:v>0.9</c:v>
                </c:pt>
                <c:pt idx="68">
                  <c:v>0.65</c:v>
                </c:pt>
                <c:pt idx="69">
                  <c:v>0.9</c:v>
                </c:pt>
                <c:pt idx="70">
                  <c:v>0.65</c:v>
                </c:pt>
                <c:pt idx="71">
                  <c:v>0.9</c:v>
                </c:pt>
                <c:pt idx="72">
                  <c:v>0.65</c:v>
                </c:pt>
                <c:pt idx="73">
                  <c:v>0.9</c:v>
                </c:pt>
                <c:pt idx="74">
                  <c:v>0.65</c:v>
                </c:pt>
                <c:pt idx="75">
                  <c:v>0.9</c:v>
                </c:pt>
                <c:pt idx="76">
                  <c:v>0.65</c:v>
                </c:pt>
                <c:pt idx="77">
                  <c:v>0.9</c:v>
                </c:pt>
                <c:pt idx="78">
                  <c:v>0.65</c:v>
                </c:pt>
                <c:pt idx="79">
                  <c:v>0.9</c:v>
                </c:pt>
                <c:pt idx="80">
                  <c:v>0.65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3"/>
          <c:order val="0"/>
          <c:tx>
            <c:v>X(t) SBC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0.12</c:v>
                </c:pt>
                <c:pt idx="18">
                  <c:v>0.37</c:v>
                </c:pt>
                <c:pt idx="19">
                  <c:v>0.49</c:v>
                </c:pt>
                <c:pt idx="20">
                  <c:v>0.55000000000000004</c:v>
                </c:pt>
                <c:pt idx="21">
                  <c:v>0.6</c:v>
                </c:pt>
                <c:pt idx="22">
                  <c:v>0.64</c:v>
                </c:pt>
                <c:pt idx="23">
                  <c:v>0.66</c:v>
                </c:pt>
                <c:pt idx="24">
                  <c:v>0.68</c:v>
                </c:pt>
                <c:pt idx="25">
                  <c:v>0.7</c:v>
                </c:pt>
                <c:pt idx="26">
                  <c:v>0.72</c:v>
                </c:pt>
                <c:pt idx="27">
                  <c:v>0.73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  <c:pt idx="32">
                  <c:v>0.77</c:v>
                </c:pt>
                <c:pt idx="33">
                  <c:v>0.78</c:v>
                </c:pt>
                <c:pt idx="34">
                  <c:v>0.77</c:v>
                </c:pt>
                <c:pt idx="35">
                  <c:v>0.78</c:v>
                </c:pt>
                <c:pt idx="36">
                  <c:v>0.77</c:v>
                </c:pt>
                <c:pt idx="37">
                  <c:v>0.78</c:v>
                </c:pt>
                <c:pt idx="38">
                  <c:v>0.77</c:v>
                </c:pt>
                <c:pt idx="39">
                  <c:v>0.78</c:v>
                </c:pt>
                <c:pt idx="40">
                  <c:v>0.77</c:v>
                </c:pt>
                <c:pt idx="41">
                  <c:v>0.78</c:v>
                </c:pt>
                <c:pt idx="42">
                  <c:v>0.77</c:v>
                </c:pt>
                <c:pt idx="43">
                  <c:v>0.78</c:v>
                </c:pt>
                <c:pt idx="44">
                  <c:v>0.77</c:v>
                </c:pt>
                <c:pt idx="45">
                  <c:v>0.78</c:v>
                </c:pt>
                <c:pt idx="46">
                  <c:v>0.77</c:v>
                </c:pt>
                <c:pt idx="47">
                  <c:v>0.78</c:v>
                </c:pt>
                <c:pt idx="48">
                  <c:v>0.77</c:v>
                </c:pt>
                <c:pt idx="49">
                  <c:v>0.78</c:v>
                </c:pt>
                <c:pt idx="50">
                  <c:v>0.77</c:v>
                </c:pt>
                <c:pt idx="51">
                  <c:v>0.78</c:v>
                </c:pt>
                <c:pt idx="52">
                  <c:v>0.77</c:v>
                </c:pt>
                <c:pt idx="53">
                  <c:v>0.78</c:v>
                </c:pt>
                <c:pt idx="54">
                  <c:v>0.77</c:v>
                </c:pt>
                <c:pt idx="55">
                  <c:v>0.78</c:v>
                </c:pt>
                <c:pt idx="56">
                  <c:v>0.77</c:v>
                </c:pt>
                <c:pt idx="57">
                  <c:v>0.78</c:v>
                </c:pt>
                <c:pt idx="58">
                  <c:v>0.77</c:v>
                </c:pt>
                <c:pt idx="59">
                  <c:v>0.78</c:v>
                </c:pt>
                <c:pt idx="60">
                  <c:v>0.77</c:v>
                </c:pt>
                <c:pt idx="61">
                  <c:v>0.78</c:v>
                </c:pt>
                <c:pt idx="62">
                  <c:v>0.77</c:v>
                </c:pt>
                <c:pt idx="63">
                  <c:v>0.78</c:v>
                </c:pt>
                <c:pt idx="64">
                  <c:v>0.78</c:v>
                </c:pt>
                <c:pt idx="65">
                  <c:v>0.78</c:v>
                </c:pt>
                <c:pt idx="66">
                  <c:v>0.79</c:v>
                </c:pt>
                <c:pt idx="67">
                  <c:v>0.79</c:v>
                </c:pt>
                <c:pt idx="68">
                  <c:v>0.8</c:v>
                </c:pt>
                <c:pt idx="69">
                  <c:v>0.8</c:v>
                </c:pt>
                <c:pt idx="70">
                  <c:v>0.81</c:v>
                </c:pt>
                <c:pt idx="71">
                  <c:v>0.81</c:v>
                </c:pt>
                <c:pt idx="72">
                  <c:v>0.82</c:v>
                </c:pt>
                <c:pt idx="73">
                  <c:v>0.82</c:v>
                </c:pt>
                <c:pt idx="74">
                  <c:v>0.82</c:v>
                </c:pt>
                <c:pt idx="75">
                  <c:v>0.83</c:v>
                </c:pt>
                <c:pt idx="76">
                  <c:v>0.8</c:v>
                </c:pt>
                <c:pt idx="77">
                  <c:v>0.76</c:v>
                </c:pt>
                <c:pt idx="78">
                  <c:v>0.7</c:v>
                </c:pt>
                <c:pt idx="79">
                  <c:v>0.62</c:v>
                </c:pt>
                <c:pt idx="80">
                  <c:v>0.51</c:v>
                </c:pt>
                <c:pt idx="81">
                  <c:v>0.35</c:v>
                </c:pt>
                <c:pt idx="82">
                  <c:v>0.16</c:v>
                </c:pt>
                <c:pt idx="83">
                  <c:v>0.03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X(t) Simulation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Simulation!$AJ$2:$AJ$102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5.0009999999999999E-2</c:v>
                </c:pt>
                <c:pt idx="19">
                  <c:v>0.235457</c:v>
                </c:pt>
                <c:pt idx="20">
                  <c:v>0.417377</c:v>
                </c:pt>
                <c:pt idx="21">
                  <c:v>0.52378899999999995</c:v>
                </c:pt>
                <c:pt idx="22">
                  <c:v>0.58783799999999997</c:v>
                </c:pt>
                <c:pt idx="23">
                  <c:v>0.63471299999999997</c:v>
                </c:pt>
                <c:pt idx="24">
                  <c:v>0.66547000000000001</c:v>
                </c:pt>
                <c:pt idx="25">
                  <c:v>0.69342800000000004</c:v>
                </c:pt>
                <c:pt idx="26">
                  <c:v>0.71313499999999996</c:v>
                </c:pt>
                <c:pt idx="27">
                  <c:v>0.72896899999999998</c:v>
                </c:pt>
                <c:pt idx="28">
                  <c:v>0.74436199999999997</c:v>
                </c:pt>
                <c:pt idx="29">
                  <c:v>0.75731300000000001</c:v>
                </c:pt>
                <c:pt idx="30">
                  <c:v>0.76705500000000004</c:v>
                </c:pt>
                <c:pt idx="31">
                  <c:v>0.77764100000000003</c:v>
                </c:pt>
                <c:pt idx="32">
                  <c:v>0.78412800000000005</c:v>
                </c:pt>
                <c:pt idx="33">
                  <c:v>0.78447999999999996</c:v>
                </c:pt>
                <c:pt idx="34">
                  <c:v>0.78805000000000003</c:v>
                </c:pt>
                <c:pt idx="35">
                  <c:v>0.77413100000000001</c:v>
                </c:pt>
                <c:pt idx="36">
                  <c:v>0.77447600000000005</c:v>
                </c:pt>
                <c:pt idx="37">
                  <c:v>0.76713799999999999</c:v>
                </c:pt>
                <c:pt idx="38">
                  <c:v>0.76955499999999999</c:v>
                </c:pt>
                <c:pt idx="39">
                  <c:v>0.76286299999999996</c:v>
                </c:pt>
                <c:pt idx="40">
                  <c:v>0.76590000000000003</c:v>
                </c:pt>
                <c:pt idx="41">
                  <c:v>0.75983299999999998</c:v>
                </c:pt>
                <c:pt idx="42">
                  <c:v>0.76605000000000001</c:v>
                </c:pt>
                <c:pt idx="43">
                  <c:v>0.76192400000000005</c:v>
                </c:pt>
                <c:pt idx="44">
                  <c:v>0.76554699999999998</c:v>
                </c:pt>
                <c:pt idx="45">
                  <c:v>0.76198900000000003</c:v>
                </c:pt>
                <c:pt idx="46">
                  <c:v>0.76475300000000002</c:v>
                </c:pt>
                <c:pt idx="47">
                  <c:v>0.76203799999999999</c:v>
                </c:pt>
                <c:pt idx="48">
                  <c:v>0.76498999999999995</c:v>
                </c:pt>
                <c:pt idx="49">
                  <c:v>0.761019</c:v>
                </c:pt>
                <c:pt idx="50">
                  <c:v>0.76495299999999999</c:v>
                </c:pt>
                <c:pt idx="51">
                  <c:v>0.76346199999999997</c:v>
                </c:pt>
                <c:pt idx="52">
                  <c:v>0.76619300000000001</c:v>
                </c:pt>
                <c:pt idx="53">
                  <c:v>0.76279600000000003</c:v>
                </c:pt>
                <c:pt idx="54">
                  <c:v>0.76518600000000003</c:v>
                </c:pt>
                <c:pt idx="55">
                  <c:v>0.76416600000000001</c:v>
                </c:pt>
                <c:pt idx="56">
                  <c:v>0.76660499999999998</c:v>
                </c:pt>
                <c:pt idx="57">
                  <c:v>0.763548</c:v>
                </c:pt>
                <c:pt idx="58">
                  <c:v>0.76732800000000001</c:v>
                </c:pt>
                <c:pt idx="59">
                  <c:v>0.76536899999999997</c:v>
                </c:pt>
                <c:pt idx="60">
                  <c:v>0.76745699999999994</c:v>
                </c:pt>
                <c:pt idx="61">
                  <c:v>0.764239</c:v>
                </c:pt>
                <c:pt idx="62">
                  <c:v>0.76891399999999999</c:v>
                </c:pt>
                <c:pt idx="63">
                  <c:v>0.76564299999999996</c:v>
                </c:pt>
                <c:pt idx="64">
                  <c:v>0.76788900000000004</c:v>
                </c:pt>
                <c:pt idx="65">
                  <c:v>0.77344999999999997</c:v>
                </c:pt>
                <c:pt idx="66">
                  <c:v>0.780142</c:v>
                </c:pt>
                <c:pt idx="67">
                  <c:v>0.79483999999999999</c:v>
                </c:pt>
                <c:pt idx="68">
                  <c:v>0.80633600000000005</c:v>
                </c:pt>
                <c:pt idx="69">
                  <c:v>0.81418699999999999</c:v>
                </c:pt>
                <c:pt idx="70">
                  <c:v>0.81934200000000001</c:v>
                </c:pt>
                <c:pt idx="71">
                  <c:v>0.82700300000000004</c:v>
                </c:pt>
                <c:pt idx="72">
                  <c:v>0.83035400000000004</c:v>
                </c:pt>
                <c:pt idx="73">
                  <c:v>0.83649499999999999</c:v>
                </c:pt>
                <c:pt idx="74">
                  <c:v>0.83979499999999996</c:v>
                </c:pt>
                <c:pt idx="75">
                  <c:v>0.84378399999999998</c:v>
                </c:pt>
                <c:pt idx="76">
                  <c:v>0.84341999999999995</c:v>
                </c:pt>
                <c:pt idx="77">
                  <c:v>0.77464100000000002</c:v>
                </c:pt>
                <c:pt idx="78">
                  <c:v>0.65103100000000003</c:v>
                </c:pt>
                <c:pt idx="79">
                  <c:v>0.54302399999999995</c:v>
                </c:pt>
                <c:pt idx="80">
                  <c:v>0.44833899999999999</c:v>
                </c:pt>
                <c:pt idx="81">
                  <c:v>0.36758099999999999</c:v>
                </c:pt>
                <c:pt idx="82">
                  <c:v>0.30092999999999998</c:v>
                </c:pt>
                <c:pt idx="83">
                  <c:v>0.24302099999999999</c:v>
                </c:pt>
                <c:pt idx="84">
                  <c:v>0.195882</c:v>
                </c:pt>
                <c:pt idx="85">
                  <c:v>0.156415</c:v>
                </c:pt>
                <c:pt idx="86">
                  <c:v>0.125301</c:v>
                </c:pt>
                <c:pt idx="87">
                  <c:v>9.8649000000000001E-2</c:v>
                </c:pt>
                <c:pt idx="88">
                  <c:v>7.8462000000000004E-2</c:v>
                </c:pt>
                <c:pt idx="89">
                  <c:v>6.1546999999999998E-2</c:v>
                </c:pt>
                <c:pt idx="90">
                  <c:v>4.8318E-2</c:v>
                </c:pt>
                <c:pt idx="91">
                  <c:v>3.7642000000000002E-2</c:v>
                </c:pt>
                <c:pt idx="92">
                  <c:v>2.9059000000000001E-2</c:v>
                </c:pt>
                <c:pt idx="93">
                  <c:v>2.2454000000000002E-2</c:v>
                </c:pt>
                <c:pt idx="94">
                  <c:v>1.7600000000000001E-2</c:v>
                </c:pt>
                <c:pt idx="95">
                  <c:v>1.3675E-2</c:v>
                </c:pt>
                <c:pt idx="96">
                  <c:v>1.0401000000000001E-2</c:v>
                </c:pt>
                <c:pt idx="97">
                  <c:v>7.8910000000000004E-3</c:v>
                </c:pt>
                <c:pt idx="98">
                  <c:v>5.9410000000000001E-3</c:v>
                </c:pt>
                <c:pt idx="99">
                  <c:v>4.6220000000000002E-3</c:v>
                </c:pt>
                <c:pt idx="100">
                  <c:v>3.4499999999999999E-3</c:v>
                </c:pt>
              </c:numCache>
            </c:numRef>
          </c:yVal>
          <c:smooth val="1"/>
        </c:ser>
        <c:ser>
          <c:idx val="2"/>
          <c:order val="3"/>
          <c:tx>
            <c:strRef>
              <c:f>SBC!$E$1</c:f>
              <c:strCache>
                <c:ptCount val="1"/>
                <c:pt idx="0">
                  <c:v>Lambda(t)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SBC!$C$2:$C$102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SBC!$E$2:$E$102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0.14000000000000001</c:v>
                </c:pt>
                <c:pt idx="18">
                  <c:v>0.57999999999999996</c:v>
                </c:pt>
                <c:pt idx="19">
                  <c:v>0.73</c:v>
                </c:pt>
                <c:pt idx="20">
                  <c:v>0.78</c:v>
                </c:pt>
                <c:pt idx="21">
                  <c:v>0.82</c:v>
                </c:pt>
                <c:pt idx="22">
                  <c:v>0.84</c:v>
                </c:pt>
                <c:pt idx="23">
                  <c:v>0.85</c:v>
                </c:pt>
                <c:pt idx="24">
                  <c:v>0.87</c:v>
                </c:pt>
                <c:pt idx="25">
                  <c:v>0.88</c:v>
                </c:pt>
                <c:pt idx="26">
                  <c:v>0.88</c:v>
                </c:pt>
                <c:pt idx="27">
                  <c:v>0.89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  <c:pt idx="31">
                  <c:v>0.91</c:v>
                </c:pt>
                <c:pt idx="32">
                  <c:v>0.81</c:v>
                </c:pt>
                <c:pt idx="33">
                  <c:v>0.91</c:v>
                </c:pt>
                <c:pt idx="34">
                  <c:v>0.64</c:v>
                </c:pt>
                <c:pt idx="35">
                  <c:v>0.91</c:v>
                </c:pt>
                <c:pt idx="36">
                  <c:v>0.64</c:v>
                </c:pt>
                <c:pt idx="37">
                  <c:v>0.91</c:v>
                </c:pt>
                <c:pt idx="38">
                  <c:v>0.64</c:v>
                </c:pt>
                <c:pt idx="39">
                  <c:v>0.91</c:v>
                </c:pt>
                <c:pt idx="40">
                  <c:v>0.64</c:v>
                </c:pt>
                <c:pt idx="41">
                  <c:v>0.91</c:v>
                </c:pt>
                <c:pt idx="42">
                  <c:v>0.64</c:v>
                </c:pt>
                <c:pt idx="43">
                  <c:v>0.91</c:v>
                </c:pt>
                <c:pt idx="44">
                  <c:v>0.64</c:v>
                </c:pt>
                <c:pt idx="45">
                  <c:v>0.91</c:v>
                </c:pt>
                <c:pt idx="46">
                  <c:v>0.64</c:v>
                </c:pt>
                <c:pt idx="47">
                  <c:v>0.91</c:v>
                </c:pt>
                <c:pt idx="48">
                  <c:v>0.64</c:v>
                </c:pt>
                <c:pt idx="49">
                  <c:v>0.91</c:v>
                </c:pt>
                <c:pt idx="50">
                  <c:v>0.64</c:v>
                </c:pt>
                <c:pt idx="51">
                  <c:v>0.91</c:v>
                </c:pt>
                <c:pt idx="52">
                  <c:v>0.64</c:v>
                </c:pt>
                <c:pt idx="53">
                  <c:v>0.91</c:v>
                </c:pt>
                <c:pt idx="54">
                  <c:v>0.64</c:v>
                </c:pt>
                <c:pt idx="55">
                  <c:v>0.91</c:v>
                </c:pt>
                <c:pt idx="56">
                  <c:v>0.64</c:v>
                </c:pt>
                <c:pt idx="57">
                  <c:v>0.91</c:v>
                </c:pt>
                <c:pt idx="58">
                  <c:v>0.64</c:v>
                </c:pt>
                <c:pt idx="59">
                  <c:v>0.91</c:v>
                </c:pt>
                <c:pt idx="60">
                  <c:v>0.64</c:v>
                </c:pt>
                <c:pt idx="61">
                  <c:v>0.91</c:v>
                </c:pt>
                <c:pt idx="62">
                  <c:v>0.64</c:v>
                </c:pt>
                <c:pt idx="63">
                  <c:v>0.91</c:v>
                </c:pt>
                <c:pt idx="64">
                  <c:v>0.73</c:v>
                </c:pt>
                <c:pt idx="65">
                  <c:v>0.91</c:v>
                </c:pt>
                <c:pt idx="66">
                  <c:v>0.92</c:v>
                </c:pt>
                <c:pt idx="67">
                  <c:v>0.92</c:v>
                </c:pt>
                <c:pt idx="68">
                  <c:v>0.92</c:v>
                </c:pt>
                <c:pt idx="69">
                  <c:v>0.92</c:v>
                </c:pt>
                <c:pt idx="70">
                  <c:v>0.93</c:v>
                </c:pt>
                <c:pt idx="71">
                  <c:v>0.93</c:v>
                </c:pt>
                <c:pt idx="72">
                  <c:v>0.93</c:v>
                </c:pt>
                <c:pt idx="73">
                  <c:v>0.93</c:v>
                </c:pt>
                <c:pt idx="74">
                  <c:v>0.93</c:v>
                </c:pt>
                <c:pt idx="75">
                  <c:v>0.88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89696"/>
        <c:axId val="105795968"/>
      </c:scatterChart>
      <c:valAx>
        <c:axId val="10578969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5795968"/>
        <c:crosses val="autoZero"/>
        <c:crossBetween val="midCat"/>
      </c:valAx>
      <c:valAx>
        <c:axId val="1057959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578969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X (kum.) (SBC)</c:v>
          </c:tx>
          <c:spPr>
            <a:ln w="254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SBC!$Q$2:$Q$102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0.12</c:v>
                </c:pt>
                <c:pt idx="18">
                  <c:v>0.49</c:v>
                </c:pt>
                <c:pt idx="19">
                  <c:v>0.98</c:v>
                </c:pt>
                <c:pt idx="20">
                  <c:v>1.53</c:v>
                </c:pt>
                <c:pt idx="21">
                  <c:v>2.13</c:v>
                </c:pt>
                <c:pt idx="22">
                  <c:v>2.77</c:v>
                </c:pt>
                <c:pt idx="23">
                  <c:v>3.43</c:v>
                </c:pt>
                <c:pt idx="24">
                  <c:v>4.1100000000000003</c:v>
                </c:pt>
                <c:pt idx="25">
                  <c:v>4.8100000000000005</c:v>
                </c:pt>
                <c:pt idx="26">
                  <c:v>5.53</c:v>
                </c:pt>
                <c:pt idx="27">
                  <c:v>6.26</c:v>
                </c:pt>
                <c:pt idx="28">
                  <c:v>7</c:v>
                </c:pt>
                <c:pt idx="29">
                  <c:v>7.75</c:v>
                </c:pt>
                <c:pt idx="30">
                  <c:v>8.51</c:v>
                </c:pt>
                <c:pt idx="31">
                  <c:v>9.2799999999999994</c:v>
                </c:pt>
                <c:pt idx="32">
                  <c:v>10.049999999999999</c:v>
                </c:pt>
                <c:pt idx="33">
                  <c:v>10.829999999999998</c:v>
                </c:pt>
                <c:pt idx="34">
                  <c:v>11.599999999999998</c:v>
                </c:pt>
                <c:pt idx="35">
                  <c:v>12.379999999999997</c:v>
                </c:pt>
                <c:pt idx="36">
                  <c:v>13.149999999999997</c:v>
                </c:pt>
                <c:pt idx="37">
                  <c:v>13.929999999999996</c:v>
                </c:pt>
                <c:pt idx="38">
                  <c:v>14.699999999999996</c:v>
                </c:pt>
                <c:pt idx="39">
                  <c:v>15.479999999999995</c:v>
                </c:pt>
                <c:pt idx="40">
                  <c:v>16.249999999999996</c:v>
                </c:pt>
                <c:pt idx="41">
                  <c:v>17.029999999999998</c:v>
                </c:pt>
                <c:pt idx="42">
                  <c:v>17.799999999999997</c:v>
                </c:pt>
                <c:pt idx="43">
                  <c:v>18.579999999999998</c:v>
                </c:pt>
                <c:pt idx="44">
                  <c:v>19.349999999999998</c:v>
                </c:pt>
                <c:pt idx="45">
                  <c:v>20.13</c:v>
                </c:pt>
                <c:pt idx="46">
                  <c:v>20.9</c:v>
                </c:pt>
                <c:pt idx="47">
                  <c:v>21.68</c:v>
                </c:pt>
                <c:pt idx="48">
                  <c:v>22.45</c:v>
                </c:pt>
                <c:pt idx="49">
                  <c:v>23.23</c:v>
                </c:pt>
                <c:pt idx="50">
                  <c:v>24</c:v>
                </c:pt>
                <c:pt idx="51">
                  <c:v>24.78</c:v>
                </c:pt>
                <c:pt idx="52">
                  <c:v>25.55</c:v>
                </c:pt>
                <c:pt idx="53">
                  <c:v>26.330000000000002</c:v>
                </c:pt>
                <c:pt idx="54">
                  <c:v>27.1</c:v>
                </c:pt>
                <c:pt idx="55">
                  <c:v>27.880000000000003</c:v>
                </c:pt>
                <c:pt idx="56">
                  <c:v>28.650000000000002</c:v>
                </c:pt>
                <c:pt idx="57">
                  <c:v>29.430000000000003</c:v>
                </c:pt>
                <c:pt idx="58">
                  <c:v>30.200000000000003</c:v>
                </c:pt>
                <c:pt idx="59">
                  <c:v>30.980000000000004</c:v>
                </c:pt>
                <c:pt idx="60">
                  <c:v>31.750000000000004</c:v>
                </c:pt>
                <c:pt idx="61">
                  <c:v>32.53</c:v>
                </c:pt>
                <c:pt idx="62">
                  <c:v>33.300000000000004</c:v>
                </c:pt>
                <c:pt idx="63">
                  <c:v>34.080000000000005</c:v>
                </c:pt>
                <c:pt idx="64">
                  <c:v>34.860000000000007</c:v>
                </c:pt>
                <c:pt idx="65">
                  <c:v>35.640000000000008</c:v>
                </c:pt>
                <c:pt idx="66">
                  <c:v>36.430000000000007</c:v>
                </c:pt>
                <c:pt idx="67">
                  <c:v>37.220000000000006</c:v>
                </c:pt>
                <c:pt idx="68">
                  <c:v>38.020000000000003</c:v>
                </c:pt>
                <c:pt idx="69">
                  <c:v>38.82</c:v>
                </c:pt>
                <c:pt idx="70">
                  <c:v>39.630000000000003</c:v>
                </c:pt>
                <c:pt idx="71">
                  <c:v>40.440000000000005</c:v>
                </c:pt>
                <c:pt idx="72">
                  <c:v>41.260000000000005</c:v>
                </c:pt>
                <c:pt idx="73">
                  <c:v>42.080000000000005</c:v>
                </c:pt>
                <c:pt idx="74">
                  <c:v>42.900000000000006</c:v>
                </c:pt>
                <c:pt idx="75">
                  <c:v>43.730000000000004</c:v>
                </c:pt>
                <c:pt idx="76">
                  <c:v>44.53</c:v>
                </c:pt>
                <c:pt idx="77">
                  <c:v>45.29</c:v>
                </c:pt>
                <c:pt idx="78">
                  <c:v>45.99</c:v>
                </c:pt>
                <c:pt idx="79">
                  <c:v>46.61</c:v>
                </c:pt>
                <c:pt idx="80">
                  <c:v>47.12</c:v>
                </c:pt>
                <c:pt idx="81">
                  <c:v>47.47</c:v>
                </c:pt>
                <c:pt idx="82">
                  <c:v>47.629999999999995</c:v>
                </c:pt>
                <c:pt idx="83">
                  <c:v>47.66</c:v>
                </c:pt>
                <c:pt idx="84">
                  <c:v>47.66</c:v>
                </c:pt>
                <c:pt idx="85">
                  <c:v>47.66</c:v>
                </c:pt>
                <c:pt idx="86">
                  <c:v>47.66</c:v>
                </c:pt>
                <c:pt idx="87">
                  <c:v>47.66</c:v>
                </c:pt>
                <c:pt idx="88">
                  <c:v>47.66</c:v>
                </c:pt>
                <c:pt idx="89">
                  <c:v>47.66</c:v>
                </c:pt>
                <c:pt idx="90">
                  <c:v>47.66</c:v>
                </c:pt>
                <c:pt idx="91">
                  <c:v>47.66</c:v>
                </c:pt>
                <c:pt idx="92">
                  <c:v>47.66</c:v>
                </c:pt>
                <c:pt idx="93">
                  <c:v>47.66</c:v>
                </c:pt>
                <c:pt idx="94">
                  <c:v>47.66</c:v>
                </c:pt>
                <c:pt idx="95">
                  <c:v>47.66</c:v>
                </c:pt>
                <c:pt idx="96">
                  <c:v>47.66</c:v>
                </c:pt>
                <c:pt idx="97">
                  <c:v>47.66</c:v>
                </c:pt>
                <c:pt idx="98">
                  <c:v>47.66</c:v>
                </c:pt>
                <c:pt idx="99">
                  <c:v>47.66</c:v>
                </c:pt>
                <c:pt idx="100">
                  <c:v>47.66</c:v>
                </c:pt>
              </c:numCache>
            </c:numRef>
          </c:yVal>
          <c:smooth val="1"/>
        </c:ser>
        <c:ser>
          <c:idx val="1"/>
          <c:order val="1"/>
          <c:tx>
            <c:v>X (kum.) (Sim)</c:v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Simulation!$AK$2:$AK$102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5.0009999999999999E-2</c:v>
                </c:pt>
                <c:pt idx="19">
                  <c:v>0.28546700000000003</c:v>
                </c:pt>
                <c:pt idx="20">
                  <c:v>0.70284400000000002</c:v>
                </c:pt>
                <c:pt idx="21">
                  <c:v>1.2266330000000001</c:v>
                </c:pt>
                <c:pt idx="22">
                  <c:v>1.8144710000000002</c:v>
                </c:pt>
                <c:pt idx="23">
                  <c:v>2.4491840000000002</c:v>
                </c:pt>
                <c:pt idx="24">
                  <c:v>3.1146540000000003</c:v>
                </c:pt>
                <c:pt idx="25">
                  <c:v>3.8080820000000002</c:v>
                </c:pt>
                <c:pt idx="26">
                  <c:v>4.521217</c:v>
                </c:pt>
                <c:pt idx="27">
                  <c:v>5.2501860000000002</c:v>
                </c:pt>
                <c:pt idx="28">
                  <c:v>5.994548</c:v>
                </c:pt>
                <c:pt idx="29">
                  <c:v>6.7518609999999999</c:v>
                </c:pt>
                <c:pt idx="30">
                  <c:v>7.5189159999999999</c:v>
                </c:pt>
                <c:pt idx="31">
                  <c:v>8.296557</c:v>
                </c:pt>
                <c:pt idx="32">
                  <c:v>9.0806850000000008</c:v>
                </c:pt>
                <c:pt idx="33">
                  <c:v>9.8651650000000011</c:v>
                </c:pt>
                <c:pt idx="34">
                  <c:v>10.653215000000001</c:v>
                </c:pt>
                <c:pt idx="35">
                  <c:v>11.427346000000002</c:v>
                </c:pt>
                <c:pt idx="36">
                  <c:v>12.201822000000002</c:v>
                </c:pt>
                <c:pt idx="37">
                  <c:v>12.968960000000001</c:v>
                </c:pt>
                <c:pt idx="38">
                  <c:v>13.738515000000001</c:v>
                </c:pt>
                <c:pt idx="39">
                  <c:v>14.501378000000001</c:v>
                </c:pt>
                <c:pt idx="40">
                  <c:v>15.267278000000001</c:v>
                </c:pt>
                <c:pt idx="41">
                  <c:v>16.027111000000001</c:v>
                </c:pt>
                <c:pt idx="42">
                  <c:v>16.793161000000001</c:v>
                </c:pt>
                <c:pt idx="43">
                  <c:v>17.555085000000002</c:v>
                </c:pt>
                <c:pt idx="44">
                  <c:v>18.320632000000003</c:v>
                </c:pt>
                <c:pt idx="45">
                  <c:v>19.082621000000003</c:v>
                </c:pt>
                <c:pt idx="46">
                  <c:v>19.847374000000002</c:v>
                </c:pt>
                <c:pt idx="47">
                  <c:v>20.609412000000003</c:v>
                </c:pt>
                <c:pt idx="48">
                  <c:v>21.374402000000003</c:v>
                </c:pt>
                <c:pt idx="49">
                  <c:v>22.135421000000004</c:v>
                </c:pt>
                <c:pt idx="50">
                  <c:v>22.900374000000003</c:v>
                </c:pt>
                <c:pt idx="51">
                  <c:v>23.663836000000003</c:v>
                </c:pt>
                <c:pt idx="52">
                  <c:v>24.430029000000005</c:v>
                </c:pt>
                <c:pt idx="53">
                  <c:v>25.192825000000006</c:v>
                </c:pt>
                <c:pt idx="54">
                  <c:v>25.958011000000006</c:v>
                </c:pt>
                <c:pt idx="55">
                  <c:v>26.722177000000006</c:v>
                </c:pt>
                <c:pt idx="56">
                  <c:v>27.488782000000004</c:v>
                </c:pt>
                <c:pt idx="57">
                  <c:v>28.252330000000004</c:v>
                </c:pt>
                <c:pt idx="58">
                  <c:v>29.019658000000003</c:v>
                </c:pt>
                <c:pt idx="59">
                  <c:v>29.785027000000003</c:v>
                </c:pt>
                <c:pt idx="60">
                  <c:v>30.552484000000003</c:v>
                </c:pt>
                <c:pt idx="61">
                  <c:v>31.316723000000003</c:v>
                </c:pt>
                <c:pt idx="62">
                  <c:v>32.085637000000006</c:v>
                </c:pt>
                <c:pt idx="63">
                  <c:v>32.851280000000003</c:v>
                </c:pt>
                <c:pt idx="64">
                  <c:v>33.619168999999999</c:v>
                </c:pt>
                <c:pt idx="65">
                  <c:v>34.392618999999996</c:v>
                </c:pt>
                <c:pt idx="66">
                  <c:v>35.172760999999994</c:v>
                </c:pt>
                <c:pt idx="67">
                  <c:v>35.967600999999995</c:v>
                </c:pt>
                <c:pt idx="68">
                  <c:v>36.773936999999997</c:v>
                </c:pt>
                <c:pt idx="69">
                  <c:v>37.588123999999993</c:v>
                </c:pt>
                <c:pt idx="70">
                  <c:v>38.407465999999992</c:v>
                </c:pt>
                <c:pt idx="71">
                  <c:v>39.23446899999999</c:v>
                </c:pt>
                <c:pt idx="72">
                  <c:v>40.06482299999999</c:v>
                </c:pt>
                <c:pt idx="73">
                  <c:v>40.901317999999989</c:v>
                </c:pt>
                <c:pt idx="74">
                  <c:v>41.741112999999991</c:v>
                </c:pt>
                <c:pt idx="75">
                  <c:v>42.584896999999991</c:v>
                </c:pt>
                <c:pt idx="76">
                  <c:v>43.428316999999993</c:v>
                </c:pt>
                <c:pt idx="77">
                  <c:v>44.202957999999995</c:v>
                </c:pt>
                <c:pt idx="78">
                  <c:v>44.853988999999999</c:v>
                </c:pt>
                <c:pt idx="79">
                  <c:v>45.397013000000001</c:v>
                </c:pt>
                <c:pt idx="80">
                  <c:v>45.845351999999998</c:v>
                </c:pt>
                <c:pt idx="81">
                  <c:v>46.212933</c:v>
                </c:pt>
                <c:pt idx="82">
                  <c:v>46.513863000000001</c:v>
                </c:pt>
                <c:pt idx="83">
                  <c:v>46.756883999999999</c:v>
                </c:pt>
                <c:pt idx="84">
                  <c:v>46.952765999999997</c:v>
                </c:pt>
                <c:pt idx="85">
                  <c:v>47.109181</c:v>
                </c:pt>
                <c:pt idx="86">
                  <c:v>47.234482</c:v>
                </c:pt>
                <c:pt idx="87">
                  <c:v>47.333131000000002</c:v>
                </c:pt>
                <c:pt idx="88">
                  <c:v>47.411593000000003</c:v>
                </c:pt>
                <c:pt idx="89">
                  <c:v>47.473140000000001</c:v>
                </c:pt>
                <c:pt idx="90">
                  <c:v>47.521458000000003</c:v>
                </c:pt>
                <c:pt idx="91">
                  <c:v>47.559100000000001</c:v>
                </c:pt>
                <c:pt idx="92">
                  <c:v>47.588158999999997</c:v>
                </c:pt>
                <c:pt idx="93">
                  <c:v>47.610613000000001</c:v>
                </c:pt>
                <c:pt idx="94">
                  <c:v>47.628213000000002</c:v>
                </c:pt>
                <c:pt idx="95">
                  <c:v>47.641888000000002</c:v>
                </c:pt>
                <c:pt idx="96">
                  <c:v>47.652289000000003</c:v>
                </c:pt>
                <c:pt idx="97">
                  <c:v>47.660180000000004</c:v>
                </c:pt>
                <c:pt idx="98">
                  <c:v>47.666121000000004</c:v>
                </c:pt>
                <c:pt idx="99">
                  <c:v>47.670743000000002</c:v>
                </c:pt>
                <c:pt idx="100">
                  <c:v>47.674193000000002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33408"/>
        <c:axId val="110435328"/>
      </c:scatterChart>
      <c:valAx>
        <c:axId val="110433408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0435328"/>
        <c:crosses val="autoZero"/>
        <c:crossBetween val="midCat"/>
      </c:valAx>
      <c:valAx>
        <c:axId val="11043532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043340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D (kum.) (SBC)</c:v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SBC!$P$2:$P$102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0.65</c:v>
                </c:pt>
                <c:pt idx="21">
                  <c:v>1.55</c:v>
                </c:pt>
                <c:pt idx="22">
                  <c:v>2.2000000000000002</c:v>
                </c:pt>
                <c:pt idx="23">
                  <c:v>3.1</c:v>
                </c:pt>
                <c:pt idx="24">
                  <c:v>3.75</c:v>
                </c:pt>
                <c:pt idx="25">
                  <c:v>4.6500000000000004</c:v>
                </c:pt>
                <c:pt idx="26">
                  <c:v>5.3000000000000007</c:v>
                </c:pt>
                <c:pt idx="27">
                  <c:v>6.2000000000000011</c:v>
                </c:pt>
                <c:pt idx="28">
                  <c:v>6.8500000000000014</c:v>
                </c:pt>
                <c:pt idx="29">
                  <c:v>7.7500000000000018</c:v>
                </c:pt>
                <c:pt idx="30">
                  <c:v>8.4000000000000021</c:v>
                </c:pt>
                <c:pt idx="31">
                  <c:v>9.3000000000000025</c:v>
                </c:pt>
                <c:pt idx="32">
                  <c:v>9.9500000000000028</c:v>
                </c:pt>
                <c:pt idx="33">
                  <c:v>10.850000000000003</c:v>
                </c:pt>
                <c:pt idx="34">
                  <c:v>11.500000000000004</c:v>
                </c:pt>
                <c:pt idx="35">
                  <c:v>12.400000000000004</c:v>
                </c:pt>
                <c:pt idx="36">
                  <c:v>13.050000000000004</c:v>
                </c:pt>
                <c:pt idx="37">
                  <c:v>13.950000000000005</c:v>
                </c:pt>
                <c:pt idx="38">
                  <c:v>14.600000000000005</c:v>
                </c:pt>
                <c:pt idx="39">
                  <c:v>15.500000000000005</c:v>
                </c:pt>
                <c:pt idx="40">
                  <c:v>16.150000000000006</c:v>
                </c:pt>
                <c:pt idx="41">
                  <c:v>17.050000000000004</c:v>
                </c:pt>
                <c:pt idx="42">
                  <c:v>17.700000000000003</c:v>
                </c:pt>
                <c:pt idx="43">
                  <c:v>18.600000000000001</c:v>
                </c:pt>
                <c:pt idx="44">
                  <c:v>19.25</c:v>
                </c:pt>
                <c:pt idx="45">
                  <c:v>20.149999999999999</c:v>
                </c:pt>
                <c:pt idx="46">
                  <c:v>20.799999999999997</c:v>
                </c:pt>
                <c:pt idx="47">
                  <c:v>21.699999999999996</c:v>
                </c:pt>
                <c:pt idx="48">
                  <c:v>22.349999999999994</c:v>
                </c:pt>
                <c:pt idx="49">
                  <c:v>23.249999999999993</c:v>
                </c:pt>
                <c:pt idx="50">
                  <c:v>23.899999999999991</c:v>
                </c:pt>
                <c:pt idx="51">
                  <c:v>24.79999999999999</c:v>
                </c:pt>
                <c:pt idx="52">
                  <c:v>25.449999999999989</c:v>
                </c:pt>
                <c:pt idx="53">
                  <c:v>26.349999999999987</c:v>
                </c:pt>
                <c:pt idx="54">
                  <c:v>26.999999999999986</c:v>
                </c:pt>
                <c:pt idx="55">
                  <c:v>27.899999999999984</c:v>
                </c:pt>
                <c:pt idx="56">
                  <c:v>28.549999999999983</c:v>
                </c:pt>
                <c:pt idx="57">
                  <c:v>29.449999999999982</c:v>
                </c:pt>
                <c:pt idx="58">
                  <c:v>30.09999999999998</c:v>
                </c:pt>
                <c:pt idx="59">
                  <c:v>30.999999999999979</c:v>
                </c:pt>
                <c:pt idx="60">
                  <c:v>31.649999999999977</c:v>
                </c:pt>
                <c:pt idx="61">
                  <c:v>32.549999999999976</c:v>
                </c:pt>
                <c:pt idx="62">
                  <c:v>33.199999999999974</c:v>
                </c:pt>
                <c:pt idx="63">
                  <c:v>34.099999999999973</c:v>
                </c:pt>
                <c:pt idx="64">
                  <c:v>34.749999999999972</c:v>
                </c:pt>
                <c:pt idx="65">
                  <c:v>35.64999999999997</c:v>
                </c:pt>
                <c:pt idx="66">
                  <c:v>36.299999999999969</c:v>
                </c:pt>
                <c:pt idx="67">
                  <c:v>37.199999999999967</c:v>
                </c:pt>
                <c:pt idx="68">
                  <c:v>37.849999999999966</c:v>
                </c:pt>
                <c:pt idx="69">
                  <c:v>38.749999999999964</c:v>
                </c:pt>
                <c:pt idx="70">
                  <c:v>39.399999999999963</c:v>
                </c:pt>
                <c:pt idx="71">
                  <c:v>40.299999999999962</c:v>
                </c:pt>
                <c:pt idx="72">
                  <c:v>40.94999999999996</c:v>
                </c:pt>
                <c:pt idx="73">
                  <c:v>41.849999999999959</c:v>
                </c:pt>
                <c:pt idx="74">
                  <c:v>42.499999999999957</c:v>
                </c:pt>
                <c:pt idx="75">
                  <c:v>43.399999999999956</c:v>
                </c:pt>
                <c:pt idx="76">
                  <c:v>44.049999999999955</c:v>
                </c:pt>
                <c:pt idx="77">
                  <c:v>44.949999999999953</c:v>
                </c:pt>
                <c:pt idx="78">
                  <c:v>45.599999999999952</c:v>
                </c:pt>
                <c:pt idx="79">
                  <c:v>46.49999999999995</c:v>
                </c:pt>
                <c:pt idx="80">
                  <c:v>47.149999999999949</c:v>
                </c:pt>
                <c:pt idx="81">
                  <c:v>47.149999999999949</c:v>
                </c:pt>
                <c:pt idx="82">
                  <c:v>47.149999999999949</c:v>
                </c:pt>
                <c:pt idx="83">
                  <c:v>47.149999999999949</c:v>
                </c:pt>
                <c:pt idx="84">
                  <c:v>47.149999999999949</c:v>
                </c:pt>
                <c:pt idx="85">
                  <c:v>47.149999999999949</c:v>
                </c:pt>
                <c:pt idx="86">
                  <c:v>47.149999999999949</c:v>
                </c:pt>
                <c:pt idx="87">
                  <c:v>47.149999999999949</c:v>
                </c:pt>
                <c:pt idx="88">
                  <c:v>47.149999999999949</c:v>
                </c:pt>
                <c:pt idx="89">
                  <c:v>47.149999999999949</c:v>
                </c:pt>
                <c:pt idx="90">
                  <c:v>47.149999999999949</c:v>
                </c:pt>
                <c:pt idx="91">
                  <c:v>47.149999999999949</c:v>
                </c:pt>
                <c:pt idx="92">
                  <c:v>47.149999999999949</c:v>
                </c:pt>
                <c:pt idx="93">
                  <c:v>47.149999999999949</c:v>
                </c:pt>
                <c:pt idx="94">
                  <c:v>47.149999999999949</c:v>
                </c:pt>
                <c:pt idx="95">
                  <c:v>47.149999999999949</c:v>
                </c:pt>
                <c:pt idx="96">
                  <c:v>47.149999999999949</c:v>
                </c:pt>
                <c:pt idx="97">
                  <c:v>47.149999999999949</c:v>
                </c:pt>
                <c:pt idx="98">
                  <c:v>47.149999999999949</c:v>
                </c:pt>
                <c:pt idx="99">
                  <c:v>47.149999999999949</c:v>
                </c:pt>
                <c:pt idx="100">
                  <c:v>47.149999999999949</c:v>
                </c:pt>
              </c:numCache>
            </c:numRef>
          </c:yVal>
          <c:smooth val="1"/>
        </c:ser>
        <c:ser>
          <c:idx val="2"/>
          <c:order val="1"/>
          <c:tx>
            <c:v>D (kum.) (Sim)</c:v>
          </c:tx>
          <c:spPr>
            <a:ln w="254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Simulation!$AI$2:$AI$102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0.65</c:v>
                </c:pt>
                <c:pt idx="22">
                  <c:v>1.55</c:v>
                </c:pt>
                <c:pt idx="23">
                  <c:v>2.2000000000000002</c:v>
                </c:pt>
                <c:pt idx="24">
                  <c:v>3.1</c:v>
                </c:pt>
                <c:pt idx="25">
                  <c:v>3.75</c:v>
                </c:pt>
                <c:pt idx="26">
                  <c:v>4.6500000000000004</c:v>
                </c:pt>
                <c:pt idx="27">
                  <c:v>5.3000000000000007</c:v>
                </c:pt>
                <c:pt idx="28">
                  <c:v>6.2000000000000011</c:v>
                </c:pt>
                <c:pt idx="29">
                  <c:v>6.8500000000000014</c:v>
                </c:pt>
                <c:pt idx="30">
                  <c:v>7.7500000000000018</c:v>
                </c:pt>
                <c:pt idx="31">
                  <c:v>8.4000000000000021</c:v>
                </c:pt>
                <c:pt idx="32">
                  <c:v>9.3000000000000025</c:v>
                </c:pt>
                <c:pt idx="33">
                  <c:v>9.9500000000000028</c:v>
                </c:pt>
                <c:pt idx="34">
                  <c:v>10.850000000000003</c:v>
                </c:pt>
                <c:pt idx="35">
                  <c:v>11.500000000000004</c:v>
                </c:pt>
                <c:pt idx="36">
                  <c:v>12.400000000000004</c:v>
                </c:pt>
                <c:pt idx="37">
                  <c:v>13.050000000000004</c:v>
                </c:pt>
                <c:pt idx="38">
                  <c:v>13.950000000000005</c:v>
                </c:pt>
                <c:pt idx="39">
                  <c:v>14.600000000000005</c:v>
                </c:pt>
                <c:pt idx="40">
                  <c:v>15.500000000000005</c:v>
                </c:pt>
                <c:pt idx="41">
                  <c:v>16.150000000000006</c:v>
                </c:pt>
                <c:pt idx="42">
                  <c:v>17.050000000000004</c:v>
                </c:pt>
                <c:pt idx="43">
                  <c:v>17.700000000000003</c:v>
                </c:pt>
                <c:pt idx="44">
                  <c:v>18.600000000000001</c:v>
                </c:pt>
                <c:pt idx="45">
                  <c:v>19.25</c:v>
                </c:pt>
                <c:pt idx="46">
                  <c:v>20.149999999999999</c:v>
                </c:pt>
                <c:pt idx="47">
                  <c:v>20.799999999999997</c:v>
                </c:pt>
                <c:pt idx="48">
                  <c:v>21.699999999999996</c:v>
                </c:pt>
                <c:pt idx="49">
                  <c:v>22.349999999999994</c:v>
                </c:pt>
                <c:pt idx="50">
                  <c:v>23.249999999999993</c:v>
                </c:pt>
                <c:pt idx="51">
                  <c:v>23.899999999999991</c:v>
                </c:pt>
                <c:pt idx="52">
                  <c:v>24.79999999999999</c:v>
                </c:pt>
                <c:pt idx="53">
                  <c:v>25.449999999999989</c:v>
                </c:pt>
                <c:pt idx="54">
                  <c:v>26.349999999999987</c:v>
                </c:pt>
                <c:pt idx="55">
                  <c:v>26.999999999999986</c:v>
                </c:pt>
                <c:pt idx="56">
                  <c:v>27.899999999999984</c:v>
                </c:pt>
                <c:pt idx="57">
                  <c:v>28.549999999999983</c:v>
                </c:pt>
                <c:pt idx="58">
                  <c:v>29.449999999999982</c:v>
                </c:pt>
                <c:pt idx="59">
                  <c:v>30.09999999999998</c:v>
                </c:pt>
                <c:pt idx="60">
                  <c:v>30.999999999999979</c:v>
                </c:pt>
                <c:pt idx="61">
                  <c:v>31.649999999999977</c:v>
                </c:pt>
                <c:pt idx="62">
                  <c:v>32.549999999999976</c:v>
                </c:pt>
                <c:pt idx="63">
                  <c:v>33.199999999999974</c:v>
                </c:pt>
                <c:pt idx="64">
                  <c:v>34.099999999999973</c:v>
                </c:pt>
                <c:pt idx="65">
                  <c:v>34.749999999999972</c:v>
                </c:pt>
                <c:pt idx="66">
                  <c:v>35.64999999999997</c:v>
                </c:pt>
                <c:pt idx="67">
                  <c:v>36.299999999999969</c:v>
                </c:pt>
                <c:pt idx="68">
                  <c:v>37.199999999999967</c:v>
                </c:pt>
                <c:pt idx="69">
                  <c:v>37.849999999999966</c:v>
                </c:pt>
                <c:pt idx="70">
                  <c:v>38.749999999999964</c:v>
                </c:pt>
                <c:pt idx="71">
                  <c:v>39.399999999999963</c:v>
                </c:pt>
                <c:pt idx="72">
                  <c:v>40.299999999999962</c:v>
                </c:pt>
                <c:pt idx="73">
                  <c:v>40.94999999999996</c:v>
                </c:pt>
                <c:pt idx="74">
                  <c:v>41.849999999999959</c:v>
                </c:pt>
                <c:pt idx="75">
                  <c:v>42.499999999999957</c:v>
                </c:pt>
                <c:pt idx="76">
                  <c:v>43.399999999999956</c:v>
                </c:pt>
                <c:pt idx="77">
                  <c:v>44.049999999999955</c:v>
                </c:pt>
                <c:pt idx="78">
                  <c:v>44.949999999999953</c:v>
                </c:pt>
                <c:pt idx="79">
                  <c:v>45.599999999999952</c:v>
                </c:pt>
                <c:pt idx="80">
                  <c:v>46.49999999999995</c:v>
                </c:pt>
                <c:pt idx="81">
                  <c:v>47.149999999999949</c:v>
                </c:pt>
                <c:pt idx="82">
                  <c:v>47.149999999999949</c:v>
                </c:pt>
                <c:pt idx="83">
                  <c:v>47.149999999999949</c:v>
                </c:pt>
                <c:pt idx="84">
                  <c:v>47.149999999999949</c:v>
                </c:pt>
                <c:pt idx="85">
                  <c:v>47.149999999999949</c:v>
                </c:pt>
                <c:pt idx="86">
                  <c:v>47.149999999999949</c:v>
                </c:pt>
                <c:pt idx="87">
                  <c:v>47.149999999999949</c:v>
                </c:pt>
                <c:pt idx="88">
                  <c:v>47.149999999999949</c:v>
                </c:pt>
                <c:pt idx="89">
                  <c:v>47.149999999999949</c:v>
                </c:pt>
                <c:pt idx="90">
                  <c:v>47.149999999999949</c:v>
                </c:pt>
                <c:pt idx="91">
                  <c:v>47.149999999999949</c:v>
                </c:pt>
                <c:pt idx="92">
                  <c:v>47.149999999999949</c:v>
                </c:pt>
                <c:pt idx="93">
                  <c:v>47.149999999999949</c:v>
                </c:pt>
                <c:pt idx="94">
                  <c:v>47.149999999999949</c:v>
                </c:pt>
                <c:pt idx="95">
                  <c:v>47.149999999999949</c:v>
                </c:pt>
                <c:pt idx="96">
                  <c:v>47.149999999999949</c:v>
                </c:pt>
                <c:pt idx="97">
                  <c:v>47.149999999999949</c:v>
                </c:pt>
                <c:pt idx="98">
                  <c:v>47.149999999999949</c:v>
                </c:pt>
                <c:pt idx="99">
                  <c:v>47.149999999999949</c:v>
                </c:pt>
                <c:pt idx="100">
                  <c:v>47.149999999999949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98432"/>
        <c:axId val="103700352"/>
      </c:scatterChart>
      <c:valAx>
        <c:axId val="103698432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700352"/>
        <c:crosses val="autoZero"/>
        <c:crossBetween val="midCat"/>
      </c:valAx>
      <c:valAx>
        <c:axId val="10370035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69843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I (SBC)</c:v>
          </c:tx>
          <c:spPr>
            <a:ln w="25400"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SBC!$J$2:$J$102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0.12</c:v>
                </c:pt>
                <c:pt idx="18">
                  <c:v>0.5</c:v>
                </c:pt>
                <c:pt idx="19">
                  <c:v>0.98</c:v>
                </c:pt>
                <c:pt idx="20">
                  <c:v>0.89</c:v>
                </c:pt>
                <c:pt idx="21">
                  <c:v>0.59</c:v>
                </c:pt>
                <c:pt idx="22">
                  <c:v>0.57999999999999996</c:v>
                </c:pt>
                <c:pt idx="23">
                  <c:v>0.34</c:v>
                </c:pt>
                <c:pt idx="24">
                  <c:v>0.37</c:v>
                </c:pt>
                <c:pt idx="25">
                  <c:v>0.18</c:v>
                </c:pt>
                <c:pt idx="26">
                  <c:v>0.24</c:v>
                </c:pt>
                <c:pt idx="27">
                  <c:v>7.0000000000000007E-2</c:v>
                </c:pt>
                <c:pt idx="28">
                  <c:v>0.17</c:v>
                </c:pt>
                <c:pt idx="29">
                  <c:v>0.02</c:v>
                </c:pt>
                <c:pt idx="30">
                  <c:v>0.13</c:v>
                </c:pt>
                <c:pt idx="31">
                  <c:v>0</c:v>
                </c:pt>
                <c:pt idx="32">
                  <c:v>0.12</c:v>
                </c:pt>
                <c:pt idx="33">
                  <c:v>0</c:v>
                </c:pt>
                <c:pt idx="34">
                  <c:v>0.12</c:v>
                </c:pt>
                <c:pt idx="35">
                  <c:v>0</c:v>
                </c:pt>
                <c:pt idx="36">
                  <c:v>0.12</c:v>
                </c:pt>
                <c:pt idx="37">
                  <c:v>0</c:v>
                </c:pt>
                <c:pt idx="38">
                  <c:v>0.12</c:v>
                </c:pt>
                <c:pt idx="39">
                  <c:v>0</c:v>
                </c:pt>
                <c:pt idx="40">
                  <c:v>0.12</c:v>
                </c:pt>
                <c:pt idx="41">
                  <c:v>0</c:v>
                </c:pt>
                <c:pt idx="42">
                  <c:v>0.12</c:v>
                </c:pt>
                <c:pt idx="43">
                  <c:v>0</c:v>
                </c:pt>
                <c:pt idx="44">
                  <c:v>0.12</c:v>
                </c:pt>
                <c:pt idx="45">
                  <c:v>0</c:v>
                </c:pt>
                <c:pt idx="46">
                  <c:v>0.12</c:v>
                </c:pt>
                <c:pt idx="47">
                  <c:v>0</c:v>
                </c:pt>
                <c:pt idx="48">
                  <c:v>0.12</c:v>
                </c:pt>
                <c:pt idx="49">
                  <c:v>0</c:v>
                </c:pt>
                <c:pt idx="50">
                  <c:v>0.12</c:v>
                </c:pt>
                <c:pt idx="51">
                  <c:v>0</c:v>
                </c:pt>
                <c:pt idx="52">
                  <c:v>0.12</c:v>
                </c:pt>
                <c:pt idx="53">
                  <c:v>0</c:v>
                </c:pt>
                <c:pt idx="54">
                  <c:v>0.12</c:v>
                </c:pt>
                <c:pt idx="55">
                  <c:v>0</c:v>
                </c:pt>
                <c:pt idx="56">
                  <c:v>0.12</c:v>
                </c:pt>
                <c:pt idx="57">
                  <c:v>0</c:v>
                </c:pt>
                <c:pt idx="58">
                  <c:v>0.12</c:v>
                </c:pt>
                <c:pt idx="59">
                  <c:v>0</c:v>
                </c:pt>
                <c:pt idx="60">
                  <c:v>0.12</c:v>
                </c:pt>
                <c:pt idx="61">
                  <c:v>0</c:v>
                </c:pt>
                <c:pt idx="62">
                  <c:v>0.12</c:v>
                </c:pt>
                <c:pt idx="63">
                  <c:v>0</c:v>
                </c:pt>
                <c:pt idx="64">
                  <c:v>0.13</c:v>
                </c:pt>
                <c:pt idx="65">
                  <c:v>0.01</c:v>
                </c:pt>
                <c:pt idx="66">
                  <c:v>0.15</c:v>
                </c:pt>
                <c:pt idx="67">
                  <c:v>0.04</c:v>
                </c:pt>
                <c:pt idx="68">
                  <c:v>0.19</c:v>
                </c:pt>
                <c:pt idx="69">
                  <c:v>0.1</c:v>
                </c:pt>
                <c:pt idx="70">
                  <c:v>0.26</c:v>
                </c:pt>
                <c:pt idx="71">
                  <c:v>0.17</c:v>
                </c:pt>
                <c:pt idx="72">
                  <c:v>0.34</c:v>
                </c:pt>
                <c:pt idx="73">
                  <c:v>0.26</c:v>
                </c:pt>
                <c:pt idx="74">
                  <c:v>0.43</c:v>
                </c:pt>
                <c:pt idx="75">
                  <c:v>0.36</c:v>
                </c:pt>
                <c:pt idx="76">
                  <c:v>0.5</c:v>
                </c:pt>
                <c:pt idx="77">
                  <c:v>0.36</c:v>
                </c:pt>
                <c:pt idx="78">
                  <c:v>0.41</c:v>
                </c:pt>
                <c:pt idx="79">
                  <c:v>0.14000000000000001</c:v>
                </c:pt>
                <c:pt idx="80">
                  <c:v>0</c:v>
                </c:pt>
                <c:pt idx="81">
                  <c:v>0.35</c:v>
                </c:pt>
                <c:pt idx="82">
                  <c:v>0.5</c:v>
                </c:pt>
                <c:pt idx="83">
                  <c:v>0.53</c:v>
                </c:pt>
                <c:pt idx="84">
                  <c:v>0.53</c:v>
                </c:pt>
                <c:pt idx="85">
                  <c:v>0.53</c:v>
                </c:pt>
                <c:pt idx="86">
                  <c:v>0.53</c:v>
                </c:pt>
                <c:pt idx="87">
                  <c:v>0.53</c:v>
                </c:pt>
                <c:pt idx="88">
                  <c:v>0.53</c:v>
                </c:pt>
                <c:pt idx="89">
                  <c:v>0.53</c:v>
                </c:pt>
                <c:pt idx="90">
                  <c:v>0.53</c:v>
                </c:pt>
                <c:pt idx="91">
                  <c:v>0.53</c:v>
                </c:pt>
                <c:pt idx="92">
                  <c:v>0.53</c:v>
                </c:pt>
                <c:pt idx="93">
                  <c:v>0.53</c:v>
                </c:pt>
                <c:pt idx="94">
                  <c:v>0.53</c:v>
                </c:pt>
                <c:pt idx="95">
                  <c:v>0.53</c:v>
                </c:pt>
                <c:pt idx="96">
                  <c:v>0.53</c:v>
                </c:pt>
                <c:pt idx="97">
                  <c:v>0.53</c:v>
                </c:pt>
                <c:pt idx="98">
                  <c:v>0.53</c:v>
                </c:pt>
                <c:pt idx="99">
                  <c:v>0.53</c:v>
                </c:pt>
                <c:pt idx="100">
                  <c:v>0.53</c:v>
                </c:pt>
              </c:numCache>
            </c:numRef>
          </c:yVal>
          <c:smooth val="1"/>
        </c:ser>
        <c:ser>
          <c:idx val="1"/>
          <c:order val="1"/>
          <c:tx>
            <c:v>I (Sim)</c:v>
          </c:tx>
          <c:spPr>
            <a:ln w="254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Simulation!$AL$2:$AL$102</c:f>
              <c:numCache>
                <c:formatCode>General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5.0009999999999999E-2</c:v>
                </c:pt>
                <c:pt idx="19">
                  <c:v>0.28546700000000003</c:v>
                </c:pt>
                <c:pt idx="20">
                  <c:v>0.70284400000000002</c:v>
                </c:pt>
                <c:pt idx="21">
                  <c:v>0.57663300000000006</c:v>
                </c:pt>
                <c:pt idx="22">
                  <c:v>0.26447100000000012</c:v>
                </c:pt>
                <c:pt idx="23">
                  <c:v>0.24918400000000007</c:v>
                </c:pt>
                <c:pt idx="24">
                  <c:v>1.4654000000000167E-2</c:v>
                </c:pt>
                <c:pt idx="25">
                  <c:v>5.8082000000000189E-2</c:v>
                </c:pt>
                <c:pt idx="26">
                  <c:v>-0.12878300000000031</c:v>
                </c:pt>
                <c:pt idx="27">
                  <c:v>-4.9814000000000469E-2</c:v>
                </c:pt>
                <c:pt idx="28">
                  <c:v>-0.20545200000000108</c:v>
                </c:pt>
                <c:pt idx="29">
                  <c:v>-9.8139000000001531E-2</c:v>
                </c:pt>
                <c:pt idx="30">
                  <c:v>-0.23108400000000184</c:v>
                </c:pt>
                <c:pt idx="31">
                  <c:v>-0.10344300000000217</c:v>
                </c:pt>
                <c:pt idx="32">
                  <c:v>-0.2193150000000017</c:v>
                </c:pt>
                <c:pt idx="33">
                  <c:v>-8.483500000000177E-2</c:v>
                </c:pt>
                <c:pt idx="34">
                  <c:v>-0.19678500000000199</c:v>
                </c:pt>
                <c:pt idx="35">
                  <c:v>-7.2654000000001773E-2</c:v>
                </c:pt>
                <c:pt idx="36">
                  <c:v>-0.19817800000000219</c:v>
                </c:pt>
                <c:pt idx="37">
                  <c:v>-8.1040000000003332E-2</c:v>
                </c:pt>
                <c:pt idx="38">
                  <c:v>-0.21148500000000325</c:v>
                </c:pt>
                <c:pt idx="39">
                  <c:v>-9.8622000000004206E-2</c:v>
                </c:pt>
                <c:pt idx="40">
                  <c:v>-0.23272200000000431</c:v>
                </c:pt>
                <c:pt idx="41">
                  <c:v>-0.12288900000000424</c:v>
                </c:pt>
                <c:pt idx="42">
                  <c:v>-0.25683900000000293</c:v>
                </c:pt>
                <c:pt idx="43">
                  <c:v>-0.14491500000000102</c:v>
                </c:pt>
                <c:pt idx="44">
                  <c:v>-0.27936799999999806</c:v>
                </c:pt>
                <c:pt idx="45">
                  <c:v>-0.16737899999999684</c:v>
                </c:pt>
                <c:pt idx="46">
                  <c:v>-0.30262599999999651</c:v>
                </c:pt>
                <c:pt idx="47">
                  <c:v>-0.19058799999999465</c:v>
                </c:pt>
                <c:pt idx="48">
                  <c:v>-0.32559799999999228</c:v>
                </c:pt>
                <c:pt idx="49">
                  <c:v>-0.21457899999998986</c:v>
                </c:pt>
                <c:pt idx="50">
                  <c:v>-0.34962599999999</c:v>
                </c:pt>
                <c:pt idx="51">
                  <c:v>-0.23616399999998805</c:v>
                </c:pt>
                <c:pt idx="52">
                  <c:v>-0.36997099999998539</c:v>
                </c:pt>
                <c:pt idx="53">
                  <c:v>-0.25717499999998239</c:v>
                </c:pt>
                <c:pt idx="54">
                  <c:v>-0.39198899999998105</c:v>
                </c:pt>
                <c:pt idx="55">
                  <c:v>-0.27782299999998017</c:v>
                </c:pt>
                <c:pt idx="56">
                  <c:v>-0.41121799999998032</c:v>
                </c:pt>
                <c:pt idx="57">
                  <c:v>-0.29766999999997878</c:v>
                </c:pt>
                <c:pt idx="58">
                  <c:v>-0.43034199999997824</c:v>
                </c:pt>
                <c:pt idx="59">
                  <c:v>-0.31497299999997708</c:v>
                </c:pt>
                <c:pt idx="60">
                  <c:v>-0.44751599999997538</c:v>
                </c:pt>
                <c:pt idx="61">
                  <c:v>-0.33327699999997407</c:v>
                </c:pt>
                <c:pt idx="62">
                  <c:v>-0.46436299999997033</c:v>
                </c:pt>
                <c:pt idx="63">
                  <c:v>-0.34871999999997172</c:v>
                </c:pt>
                <c:pt idx="64">
                  <c:v>-0.48083099999997359</c:v>
                </c:pt>
                <c:pt idx="65">
                  <c:v>-0.3573809999999753</c:v>
                </c:pt>
                <c:pt idx="66">
                  <c:v>-0.47723899999997599</c:v>
                </c:pt>
                <c:pt idx="67">
                  <c:v>-0.33239899999997391</c:v>
                </c:pt>
                <c:pt idx="68">
                  <c:v>-0.42606299999997077</c:v>
                </c:pt>
                <c:pt idx="69">
                  <c:v>-0.26187599999997246</c:v>
                </c:pt>
                <c:pt idx="70">
                  <c:v>-0.34253399999997214</c:v>
                </c:pt>
                <c:pt idx="71">
                  <c:v>-0.16553099999997301</c:v>
                </c:pt>
                <c:pt idx="72">
                  <c:v>-0.23517699999997177</c:v>
                </c:pt>
                <c:pt idx="73">
                  <c:v>-4.8681999999971026E-2</c:v>
                </c:pt>
                <c:pt idx="74">
                  <c:v>-0.10888699999996732</c:v>
                </c:pt>
                <c:pt idx="75">
                  <c:v>8.4897000000033529E-2</c:v>
                </c:pt>
                <c:pt idx="76">
                  <c:v>2.8317000000036785E-2</c:v>
                </c:pt>
                <c:pt idx="77">
                  <c:v>0.15295800000004078</c:v>
                </c:pt>
                <c:pt idx="78">
                  <c:v>-9.6010999999954549E-2</c:v>
                </c:pt>
                <c:pt idx="79">
                  <c:v>-0.20298699999995051</c:v>
                </c:pt>
                <c:pt idx="80">
                  <c:v>-0.65464799999995194</c:v>
                </c:pt>
                <c:pt idx="81">
                  <c:v>-0.93706699999994925</c:v>
                </c:pt>
                <c:pt idx="82">
                  <c:v>-0.63613699999994822</c:v>
                </c:pt>
                <c:pt idx="83">
                  <c:v>-0.39311599999994939</c:v>
                </c:pt>
                <c:pt idx="84">
                  <c:v>-0.19723399999995195</c:v>
                </c:pt>
                <c:pt idx="85">
                  <c:v>-4.0818999999949312E-2</c:v>
                </c:pt>
                <c:pt idx="86">
                  <c:v>8.4482000000051016E-2</c:v>
                </c:pt>
                <c:pt idx="87">
                  <c:v>0.18313100000005278</c:v>
                </c:pt>
                <c:pt idx="88">
                  <c:v>0.26159300000005459</c:v>
                </c:pt>
                <c:pt idx="89">
                  <c:v>0.32314000000005194</c:v>
                </c:pt>
                <c:pt idx="90">
                  <c:v>0.3714580000000538</c:v>
                </c:pt>
                <c:pt idx="91">
                  <c:v>0.40910000000005198</c:v>
                </c:pt>
                <c:pt idx="92">
                  <c:v>0.43815900000004859</c:v>
                </c:pt>
                <c:pt idx="93">
                  <c:v>0.4606130000000519</c:v>
                </c:pt>
                <c:pt idx="94">
                  <c:v>0.47821300000005351</c:v>
                </c:pt>
                <c:pt idx="95">
                  <c:v>0.49188800000005273</c:v>
                </c:pt>
                <c:pt idx="96">
                  <c:v>0.50228900000005439</c:v>
                </c:pt>
                <c:pt idx="97">
                  <c:v>0.51018000000005514</c:v>
                </c:pt>
                <c:pt idx="98">
                  <c:v>0.51612100000005512</c:v>
                </c:pt>
                <c:pt idx="99">
                  <c:v>0.5207430000000528</c:v>
                </c:pt>
                <c:pt idx="100">
                  <c:v>0.52419300000005364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13792"/>
        <c:axId val="110494848"/>
      </c:scatterChart>
      <c:valAx>
        <c:axId val="103713792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0494848"/>
        <c:crosses val="autoZero"/>
        <c:crossBetween val="midCat"/>
      </c:valAx>
      <c:valAx>
        <c:axId val="110494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371379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A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rho = X (SBC)</c:v>
          </c:tx>
          <c:spPr>
            <a:ln w="25400"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SBC!$B$2:$B$102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SBC!$K$2:$K$102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0.12</c:v>
                </c:pt>
                <c:pt idx="18">
                  <c:v>0.37</c:v>
                </c:pt>
                <c:pt idx="19">
                  <c:v>0.49</c:v>
                </c:pt>
                <c:pt idx="20">
                  <c:v>0.55000000000000004</c:v>
                </c:pt>
                <c:pt idx="21">
                  <c:v>0.6</c:v>
                </c:pt>
                <c:pt idx="22">
                  <c:v>0.64</c:v>
                </c:pt>
                <c:pt idx="23">
                  <c:v>0.66</c:v>
                </c:pt>
                <c:pt idx="24">
                  <c:v>0.68</c:v>
                </c:pt>
                <c:pt idx="25">
                  <c:v>0.7</c:v>
                </c:pt>
                <c:pt idx="26">
                  <c:v>0.72</c:v>
                </c:pt>
                <c:pt idx="27">
                  <c:v>0.73</c:v>
                </c:pt>
                <c:pt idx="28">
                  <c:v>0.74</c:v>
                </c:pt>
                <c:pt idx="29">
                  <c:v>0.75</c:v>
                </c:pt>
                <c:pt idx="30">
                  <c:v>0.76</c:v>
                </c:pt>
                <c:pt idx="31">
                  <c:v>0.77</c:v>
                </c:pt>
                <c:pt idx="32">
                  <c:v>0.77</c:v>
                </c:pt>
                <c:pt idx="33">
                  <c:v>0.78</c:v>
                </c:pt>
                <c:pt idx="34">
                  <c:v>0.77</c:v>
                </c:pt>
                <c:pt idx="35">
                  <c:v>0.78</c:v>
                </c:pt>
                <c:pt idx="36">
                  <c:v>0.77</c:v>
                </c:pt>
                <c:pt idx="37">
                  <c:v>0.78</c:v>
                </c:pt>
                <c:pt idx="38">
                  <c:v>0.77</c:v>
                </c:pt>
                <c:pt idx="39">
                  <c:v>0.78</c:v>
                </c:pt>
                <c:pt idx="40">
                  <c:v>0.77</c:v>
                </c:pt>
                <c:pt idx="41">
                  <c:v>0.78</c:v>
                </c:pt>
                <c:pt idx="42">
                  <c:v>0.77</c:v>
                </c:pt>
                <c:pt idx="43">
                  <c:v>0.78</c:v>
                </c:pt>
                <c:pt idx="44">
                  <c:v>0.77</c:v>
                </c:pt>
                <c:pt idx="45">
                  <c:v>0.78</c:v>
                </c:pt>
                <c:pt idx="46">
                  <c:v>0.77</c:v>
                </c:pt>
                <c:pt idx="47">
                  <c:v>0.78</c:v>
                </c:pt>
                <c:pt idx="48">
                  <c:v>0.77</c:v>
                </c:pt>
                <c:pt idx="49">
                  <c:v>0.78</c:v>
                </c:pt>
                <c:pt idx="50">
                  <c:v>0.77</c:v>
                </c:pt>
                <c:pt idx="51">
                  <c:v>0.78</c:v>
                </c:pt>
                <c:pt idx="52">
                  <c:v>0.77</c:v>
                </c:pt>
                <c:pt idx="53">
                  <c:v>0.78</c:v>
                </c:pt>
                <c:pt idx="54">
                  <c:v>0.77</c:v>
                </c:pt>
                <c:pt idx="55">
                  <c:v>0.78</c:v>
                </c:pt>
                <c:pt idx="56">
                  <c:v>0.77</c:v>
                </c:pt>
                <c:pt idx="57">
                  <c:v>0.78</c:v>
                </c:pt>
                <c:pt idx="58">
                  <c:v>0.77</c:v>
                </c:pt>
                <c:pt idx="59">
                  <c:v>0.78</c:v>
                </c:pt>
                <c:pt idx="60">
                  <c:v>0.77</c:v>
                </c:pt>
                <c:pt idx="61">
                  <c:v>0.78</c:v>
                </c:pt>
                <c:pt idx="62">
                  <c:v>0.77</c:v>
                </c:pt>
                <c:pt idx="63">
                  <c:v>0.78</c:v>
                </c:pt>
                <c:pt idx="64">
                  <c:v>0.78</c:v>
                </c:pt>
                <c:pt idx="65">
                  <c:v>0.78</c:v>
                </c:pt>
                <c:pt idx="66">
                  <c:v>0.79</c:v>
                </c:pt>
                <c:pt idx="67">
                  <c:v>0.79</c:v>
                </c:pt>
                <c:pt idx="68">
                  <c:v>0.8</c:v>
                </c:pt>
                <c:pt idx="69">
                  <c:v>0.8</c:v>
                </c:pt>
                <c:pt idx="70">
                  <c:v>0.81</c:v>
                </c:pt>
                <c:pt idx="71">
                  <c:v>0.81</c:v>
                </c:pt>
                <c:pt idx="72">
                  <c:v>0.82</c:v>
                </c:pt>
                <c:pt idx="73">
                  <c:v>0.82</c:v>
                </c:pt>
                <c:pt idx="74">
                  <c:v>0.82</c:v>
                </c:pt>
                <c:pt idx="75">
                  <c:v>0.83</c:v>
                </c:pt>
                <c:pt idx="76">
                  <c:v>0.8</c:v>
                </c:pt>
                <c:pt idx="77">
                  <c:v>0.76</c:v>
                </c:pt>
                <c:pt idx="78">
                  <c:v>0.7</c:v>
                </c:pt>
                <c:pt idx="79">
                  <c:v>0.62</c:v>
                </c:pt>
                <c:pt idx="80">
                  <c:v>0.51</c:v>
                </c:pt>
                <c:pt idx="81">
                  <c:v>0.35</c:v>
                </c:pt>
                <c:pt idx="82">
                  <c:v>0.16</c:v>
                </c:pt>
                <c:pt idx="83">
                  <c:v>0.03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rho (Sim)</c:v>
          </c:tx>
          <c:spPr>
            <a:ln w="25400">
              <a:solidFill>
                <a:schemeClr val="bg2">
                  <a:lumMod val="2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Simulation!$C$2:$C$102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Simulation!$P$2:$P$102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4.9996265405908701E-2</c:v>
                </c:pt>
                <c:pt idx="19">
                  <c:v>0.234970158240173</c:v>
                </c:pt>
                <c:pt idx="20">
                  <c:v>0.418021446865178</c:v>
                </c:pt>
                <c:pt idx="21">
                  <c:v>0.52366119398646405</c:v>
                </c:pt>
                <c:pt idx="22">
                  <c:v>0.58920700611807497</c:v>
                </c:pt>
                <c:pt idx="23">
                  <c:v>0.63449404558404898</c:v>
                </c:pt>
                <c:pt idx="24">
                  <c:v>0.66703840289414296</c:v>
                </c:pt>
                <c:pt idx="25">
                  <c:v>0.69233677522370196</c:v>
                </c:pt>
                <c:pt idx="26">
                  <c:v>0.71333509798402905</c:v>
                </c:pt>
                <c:pt idx="27">
                  <c:v>0.73001795302280903</c:v>
                </c:pt>
                <c:pt idx="28">
                  <c:v>0.74420119483446301</c:v>
                </c:pt>
                <c:pt idx="29">
                  <c:v>0.757149478988142</c:v>
                </c:pt>
                <c:pt idx="30">
                  <c:v>0.76762209166367401</c:v>
                </c:pt>
                <c:pt idx="31">
                  <c:v>0.77649030953030795</c:v>
                </c:pt>
                <c:pt idx="32">
                  <c:v>0.78434267612568498</c:v>
                </c:pt>
                <c:pt idx="33">
                  <c:v>0.78355869238171405</c:v>
                </c:pt>
                <c:pt idx="34">
                  <c:v>0.78697690652912899</c:v>
                </c:pt>
                <c:pt idx="35">
                  <c:v>0.77431948012954799</c:v>
                </c:pt>
                <c:pt idx="36">
                  <c:v>0.77365789506410598</c:v>
                </c:pt>
                <c:pt idx="37">
                  <c:v>0.76681662756005997</c:v>
                </c:pt>
                <c:pt idx="38">
                  <c:v>0.76851338277805603</c:v>
                </c:pt>
                <c:pt idx="39">
                  <c:v>0.76307825818850905</c:v>
                </c:pt>
                <c:pt idx="40">
                  <c:v>0.76609161019159699</c:v>
                </c:pt>
                <c:pt idx="41">
                  <c:v>0.761526024795666</c:v>
                </c:pt>
                <c:pt idx="42">
                  <c:v>0.76553573293333899</c:v>
                </c:pt>
                <c:pt idx="43">
                  <c:v>0.76139799862959801</c:v>
                </c:pt>
                <c:pt idx="44">
                  <c:v>0.765095536420904</c:v>
                </c:pt>
                <c:pt idx="45">
                  <c:v>0.760782186280345</c:v>
                </c:pt>
                <c:pt idx="46">
                  <c:v>0.76534562793959404</c:v>
                </c:pt>
                <c:pt idx="47">
                  <c:v>0.761806488820164</c:v>
                </c:pt>
                <c:pt idx="48">
                  <c:v>0.76612664208611603</c:v>
                </c:pt>
                <c:pt idx="49">
                  <c:v>0.76215637896486499</c:v>
                </c:pt>
                <c:pt idx="50">
                  <c:v>0.76614336674834305</c:v>
                </c:pt>
                <c:pt idx="51">
                  <c:v>0.76212313975288803</c:v>
                </c:pt>
                <c:pt idx="52">
                  <c:v>0.76632602226896895</c:v>
                </c:pt>
                <c:pt idx="53">
                  <c:v>0.76286536992345699</c:v>
                </c:pt>
                <c:pt idx="54">
                  <c:v>0.76658163487882602</c:v>
                </c:pt>
                <c:pt idx="55">
                  <c:v>0.762894411337527</c:v>
                </c:pt>
                <c:pt idx="56">
                  <c:v>0.767073584706226</c:v>
                </c:pt>
                <c:pt idx="57">
                  <c:v>0.76341108001681202</c:v>
                </c:pt>
                <c:pt idx="58">
                  <c:v>0.76786414709419004</c:v>
                </c:pt>
                <c:pt idx="59">
                  <c:v>0.76443388459966</c:v>
                </c:pt>
                <c:pt idx="60">
                  <c:v>0.76848757333523698</c:v>
                </c:pt>
                <c:pt idx="61">
                  <c:v>0.76461703022243599</c:v>
                </c:pt>
                <c:pt idx="62">
                  <c:v>0.76868851270120997</c:v>
                </c:pt>
                <c:pt idx="63">
                  <c:v>0.76492609983008297</c:v>
                </c:pt>
                <c:pt idx="64">
                  <c:v>0.76883651482329296</c:v>
                </c:pt>
                <c:pt idx="65">
                  <c:v>0.77322012948676899</c:v>
                </c:pt>
                <c:pt idx="66">
                  <c:v>0.77986879557633904</c:v>
                </c:pt>
                <c:pt idx="67">
                  <c:v>0.79585995662567799</c:v>
                </c:pt>
                <c:pt idx="68">
                  <c:v>0.80641170980810495</c:v>
                </c:pt>
                <c:pt idx="69">
                  <c:v>0.81433048940514696</c:v>
                </c:pt>
                <c:pt idx="70" formatCode="0.00E+00">
                  <c:v>0.82086963693967796</c:v>
                </c:pt>
                <c:pt idx="71" formatCode="0.00E+00">
                  <c:v>0.82654296084843004</c:v>
                </c:pt>
                <c:pt idx="72" formatCode="0.00E+00">
                  <c:v>0.83170978566907905</c:v>
                </c:pt>
                <c:pt idx="73" formatCode="0.00E+00">
                  <c:v>0.83629234155218801</c:v>
                </c:pt>
                <c:pt idx="74" formatCode="0.00E+00">
                  <c:v>0.84026462920063105</c:v>
                </c:pt>
                <c:pt idx="75" formatCode="0.00E+00">
                  <c:v>0.84324849263142798</c:v>
                </c:pt>
                <c:pt idx="76" formatCode="0.00E+00">
                  <c:v>0.84320581119706906</c:v>
                </c:pt>
                <c:pt idx="77" formatCode="0.00E+00">
                  <c:v>0.77496043502310197</c:v>
                </c:pt>
                <c:pt idx="78" formatCode="0.00E+00">
                  <c:v>0.65068487822301802</c:v>
                </c:pt>
                <c:pt idx="79" formatCode="0.00E+00">
                  <c:v>0.542148953072632</c:v>
                </c:pt>
                <c:pt idx="80" formatCode="0.00E+00">
                  <c:v>0.44843975513745099</c:v>
                </c:pt>
                <c:pt idx="81" formatCode="0.00E+00">
                  <c:v>0.36809429680154698</c:v>
                </c:pt>
                <c:pt idx="82" formatCode="0.00E+00">
                  <c:v>0.30007932194443399</c:v>
                </c:pt>
                <c:pt idx="83" formatCode="0.00E+00">
                  <c:v>0.24306691546739101</c:v>
                </c:pt>
                <c:pt idx="84" formatCode="0.00E+00">
                  <c:v>0.195891222397131</c:v>
                </c:pt>
                <c:pt idx="85" formatCode="0.00E+00">
                  <c:v>0.15691906129521199</c:v>
                </c:pt>
                <c:pt idx="86" formatCode="0.00E+00">
                  <c:v>0.124969201478053</c:v>
                </c:pt>
                <c:pt idx="87" formatCode="0.00E+00">
                  <c:v>9.8919147290439199E-2</c:v>
                </c:pt>
                <c:pt idx="88" formatCode="0.00E+00">
                  <c:v>7.8253166097590907E-2</c:v>
                </c:pt>
                <c:pt idx="89" formatCode="0.00E+00">
                  <c:v>6.1594077843454199E-2</c:v>
                </c:pt>
                <c:pt idx="90" formatCode="0.00E+00">
                  <c:v>4.8234577634017797E-2</c:v>
                </c:pt>
                <c:pt idx="91" formatCode="0.00E+00">
                  <c:v>3.7678520432131199E-2</c:v>
                </c:pt>
                <c:pt idx="92" formatCode="0.00E+00">
                  <c:v>2.9288608336976701E-2</c:v>
                </c:pt>
                <c:pt idx="93" formatCode="0.00E+00">
                  <c:v>2.2774977384680602E-2</c:v>
                </c:pt>
                <c:pt idx="94" formatCode="0.00E+00">
                  <c:v>1.7543881903585801E-2</c:v>
                </c:pt>
                <c:pt idx="95" formatCode="0.00E+00">
                  <c:v>1.34738471440088E-2</c:v>
                </c:pt>
                <c:pt idx="96" formatCode="0.00E+00">
                  <c:v>1.0375386765299499E-2</c:v>
                </c:pt>
                <c:pt idx="97" formatCode="0.00E+00">
                  <c:v>7.9405872631231004E-3</c:v>
                </c:pt>
                <c:pt idx="98" formatCode="0.00E+00">
                  <c:v>6.0516148206389902E-3</c:v>
                </c:pt>
                <c:pt idx="99" formatCode="0.00E+00">
                  <c:v>4.61227095076365E-3</c:v>
                </c:pt>
                <c:pt idx="100" formatCode="0.00E+00">
                  <c:v>3.4901007552053001E-3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43072"/>
        <c:axId val="110653440"/>
      </c:scatterChart>
      <c:valAx>
        <c:axId val="110643072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0653440"/>
        <c:crosses val="autoZero"/>
        <c:crossBetween val="midCat"/>
      </c:valAx>
      <c:valAx>
        <c:axId val="11065344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064307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85" workbookViewId="0"/>
  </sheetViews>
  <pageMargins left="0.7" right="0.7" top="0.78740157499999996" bottom="0.78740157499999996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108" workbookViewId="0" zoomToFit="1"/>
  </sheetViews>
  <pageMargins left="0.7" right="0.7" top="0.78740157499999996" bottom="0.78740157499999996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127" workbookViewId="0" zoomToFit="1"/>
  </sheetViews>
  <pageMargins left="0.7" right="0.7" top="0.78740157499999996" bottom="0.78740157499999996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/>
  <sheetViews>
    <sheetView zoomScale="12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7435" cy="5997388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5111" cy="599722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2500" cy="5992500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500" cy="5992500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2"/>
  <sheetViews>
    <sheetView tabSelected="1" workbookViewId="0">
      <pane ySplit="1" topLeftCell="A2" activePane="bottomLeft" state="frozen"/>
      <selection pane="bottomLeft" activeCell="N2" sqref="N2:N102"/>
    </sheetView>
  </sheetViews>
  <sheetFormatPr baseColWidth="10" defaultRowHeight="14.4" x14ac:dyDescent="0.3"/>
  <cols>
    <col min="1" max="1" width="13.88671875" style="5" bestFit="1" customWidth="1"/>
    <col min="2" max="2" width="14" style="5" bestFit="1" customWidth="1"/>
    <col min="3" max="3" width="4" bestFit="1" customWidth="1"/>
    <col min="4" max="4" width="4.44140625" bestFit="1" customWidth="1"/>
    <col min="5" max="5" width="10" bestFit="1" customWidth="1"/>
    <col min="6" max="6" width="13.88671875" bestFit="1" customWidth="1"/>
    <col min="7" max="7" width="5" bestFit="1" customWidth="1"/>
    <col min="8" max="9" width="10.88671875" bestFit="1" customWidth="1"/>
    <col min="10" max="11" width="5" bestFit="1" customWidth="1"/>
    <col min="14" max="17" width="11.44140625" style="5"/>
  </cols>
  <sheetData>
    <row r="1" spans="1:17" s="1" customFormat="1" x14ac:dyDescent="0.3">
      <c r="A1" s="4" t="s">
        <v>1</v>
      </c>
      <c r="B1" s="4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4" t="s">
        <v>0</v>
      </c>
      <c r="O1" s="4"/>
      <c r="P1" s="4" t="s">
        <v>13</v>
      </c>
      <c r="Q1" s="4" t="s">
        <v>15</v>
      </c>
    </row>
    <row r="2" spans="1:17" ht="15" x14ac:dyDescent="0.25">
      <c r="A2" s="5">
        <v>0</v>
      </c>
      <c r="B2" s="5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N2" s="5" t="str">
        <f>C2&amp;" "&amp;E2</f>
        <v>0 0</v>
      </c>
      <c r="P2" s="5">
        <f>D2</f>
        <v>0</v>
      </c>
      <c r="Q2" s="5">
        <f>K2</f>
        <v>0</v>
      </c>
    </row>
    <row r="3" spans="1:17" ht="15" x14ac:dyDescent="0.25">
      <c r="A3" s="5">
        <v>1</v>
      </c>
      <c r="B3" s="5">
        <v>2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N3" s="5" t="str">
        <f t="shared" ref="N3:N66" si="0">C3&amp;" "&amp;E3</f>
        <v>1 0</v>
      </c>
      <c r="P3" s="5">
        <f>P2+D3</f>
        <v>0</v>
      </c>
      <c r="Q3" s="5">
        <f>Q2+K3</f>
        <v>0</v>
      </c>
    </row>
    <row r="4" spans="1:17" ht="15" x14ac:dyDescent="0.25">
      <c r="A4" s="5">
        <v>2</v>
      </c>
      <c r="B4" s="5">
        <v>3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N4" s="5" t="str">
        <f t="shared" si="0"/>
        <v>2 0</v>
      </c>
      <c r="P4" s="5">
        <f t="shared" ref="P4:P67" si="1">P3+D4</f>
        <v>0</v>
      </c>
      <c r="Q4" s="5">
        <f t="shared" ref="Q4:Q67" si="2">Q3+K4</f>
        <v>0</v>
      </c>
    </row>
    <row r="5" spans="1:17" ht="15" x14ac:dyDescent="0.25">
      <c r="A5" s="5">
        <v>3</v>
      </c>
      <c r="B5" s="5">
        <v>4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N5" s="5" t="str">
        <f t="shared" si="0"/>
        <v>3 0</v>
      </c>
      <c r="P5" s="5">
        <f t="shared" si="1"/>
        <v>0</v>
      </c>
      <c r="Q5" s="5">
        <f t="shared" si="2"/>
        <v>0</v>
      </c>
    </row>
    <row r="6" spans="1:17" ht="15" x14ac:dyDescent="0.25">
      <c r="A6" s="5">
        <v>4</v>
      </c>
      <c r="B6" s="5">
        <v>5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N6" s="5" t="str">
        <f t="shared" si="0"/>
        <v>4 0</v>
      </c>
      <c r="P6" s="5">
        <f t="shared" si="1"/>
        <v>0</v>
      </c>
      <c r="Q6" s="5">
        <f t="shared" si="2"/>
        <v>0</v>
      </c>
    </row>
    <row r="7" spans="1:17" ht="15" x14ac:dyDescent="0.25">
      <c r="A7" s="5">
        <v>5</v>
      </c>
      <c r="B7" s="5">
        <v>6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N7" s="5" t="str">
        <f t="shared" si="0"/>
        <v>5 0</v>
      </c>
      <c r="P7" s="5">
        <f t="shared" si="1"/>
        <v>0</v>
      </c>
      <c r="Q7" s="5">
        <f t="shared" si="2"/>
        <v>0</v>
      </c>
    </row>
    <row r="8" spans="1:17" ht="15" x14ac:dyDescent="0.25">
      <c r="A8" s="5">
        <v>6</v>
      </c>
      <c r="B8" s="5">
        <v>7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N8" s="5" t="str">
        <f t="shared" si="0"/>
        <v>6 0</v>
      </c>
      <c r="P8" s="5">
        <f t="shared" si="1"/>
        <v>0</v>
      </c>
      <c r="Q8" s="5">
        <f t="shared" si="2"/>
        <v>0</v>
      </c>
    </row>
    <row r="9" spans="1:17" ht="15" x14ac:dyDescent="0.25">
      <c r="A9" s="5">
        <v>7</v>
      </c>
      <c r="B9" s="5">
        <v>8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N9" s="5" t="str">
        <f t="shared" si="0"/>
        <v>7 0</v>
      </c>
      <c r="P9" s="5">
        <f t="shared" si="1"/>
        <v>0</v>
      </c>
      <c r="Q9" s="5">
        <f t="shared" si="2"/>
        <v>0</v>
      </c>
    </row>
    <row r="10" spans="1:17" ht="15" x14ac:dyDescent="0.25">
      <c r="A10" s="5">
        <v>8</v>
      </c>
      <c r="B10" s="5">
        <v>9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N10" s="5" t="str">
        <f t="shared" si="0"/>
        <v>8 0</v>
      </c>
      <c r="P10" s="5">
        <f t="shared" si="1"/>
        <v>0</v>
      </c>
      <c r="Q10" s="5">
        <f t="shared" si="2"/>
        <v>0</v>
      </c>
    </row>
    <row r="11" spans="1:17" ht="15" x14ac:dyDescent="0.25">
      <c r="A11" s="5">
        <v>9</v>
      </c>
      <c r="B11" s="5">
        <v>10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N11" s="5" t="str">
        <f t="shared" si="0"/>
        <v>9 0</v>
      </c>
      <c r="P11" s="5">
        <f t="shared" si="1"/>
        <v>0</v>
      </c>
      <c r="Q11" s="5">
        <f t="shared" si="2"/>
        <v>0</v>
      </c>
    </row>
    <row r="12" spans="1:17" ht="15" x14ac:dyDescent="0.25">
      <c r="A12" s="5">
        <v>10</v>
      </c>
      <c r="B12" s="5">
        <v>11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N12" s="5" t="str">
        <f t="shared" si="0"/>
        <v>10 0</v>
      </c>
      <c r="P12" s="5">
        <f t="shared" si="1"/>
        <v>0</v>
      </c>
      <c r="Q12" s="5">
        <f t="shared" si="2"/>
        <v>0</v>
      </c>
    </row>
    <row r="13" spans="1:17" ht="15" x14ac:dyDescent="0.25">
      <c r="A13" s="5">
        <v>11</v>
      </c>
      <c r="B13" s="5">
        <v>12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N13" s="5" t="str">
        <f t="shared" si="0"/>
        <v>11 0</v>
      </c>
      <c r="P13" s="5">
        <f t="shared" si="1"/>
        <v>0</v>
      </c>
      <c r="Q13" s="5">
        <f t="shared" si="2"/>
        <v>0</v>
      </c>
    </row>
    <row r="14" spans="1:17" ht="15" x14ac:dyDescent="0.25">
      <c r="A14" s="5">
        <v>12</v>
      </c>
      <c r="B14" s="5">
        <v>13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N14" s="5" t="str">
        <f t="shared" si="0"/>
        <v>12 0</v>
      </c>
      <c r="P14" s="5">
        <f t="shared" si="1"/>
        <v>0</v>
      </c>
      <c r="Q14" s="5">
        <f t="shared" si="2"/>
        <v>0</v>
      </c>
    </row>
    <row r="15" spans="1:17" ht="15" x14ac:dyDescent="0.25">
      <c r="A15" s="5">
        <v>13</v>
      </c>
      <c r="B15" s="5">
        <v>14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N15" s="5" t="str">
        <f t="shared" si="0"/>
        <v>13 0</v>
      </c>
      <c r="P15" s="5">
        <f t="shared" si="1"/>
        <v>0</v>
      </c>
      <c r="Q15" s="5">
        <f t="shared" si="2"/>
        <v>0</v>
      </c>
    </row>
    <row r="16" spans="1:17" ht="15" x14ac:dyDescent="0.25">
      <c r="A16" s="5">
        <v>14</v>
      </c>
      <c r="B16" s="5">
        <v>15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N16" s="5" t="str">
        <f t="shared" si="0"/>
        <v>14 0</v>
      </c>
      <c r="P16" s="5">
        <f t="shared" si="1"/>
        <v>0</v>
      </c>
      <c r="Q16" s="5">
        <f t="shared" si="2"/>
        <v>0</v>
      </c>
    </row>
    <row r="17" spans="1:17" ht="15" x14ac:dyDescent="0.25">
      <c r="A17" s="5">
        <v>15</v>
      </c>
      <c r="B17" s="5">
        <v>16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N17" s="5" t="str">
        <f t="shared" si="0"/>
        <v>15 0</v>
      </c>
      <c r="P17" s="5">
        <f t="shared" si="1"/>
        <v>0</v>
      </c>
      <c r="Q17" s="5">
        <f t="shared" si="2"/>
        <v>0</v>
      </c>
    </row>
    <row r="18" spans="1:17" ht="15" x14ac:dyDescent="0.25">
      <c r="A18" s="5">
        <v>16</v>
      </c>
      <c r="B18" s="5">
        <v>17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N18" s="5" t="str">
        <f t="shared" si="0"/>
        <v>16 0</v>
      </c>
      <c r="P18" s="5">
        <f t="shared" si="1"/>
        <v>0</v>
      </c>
      <c r="Q18" s="5">
        <f t="shared" si="2"/>
        <v>0</v>
      </c>
    </row>
    <row r="19" spans="1:17" ht="15" x14ac:dyDescent="0.25">
      <c r="A19" s="5">
        <v>17</v>
      </c>
      <c r="B19" s="5">
        <v>18</v>
      </c>
      <c r="C19">
        <v>17</v>
      </c>
      <c r="D19">
        <v>0</v>
      </c>
      <c r="E19">
        <v>0.14000000000000001</v>
      </c>
      <c r="F19">
        <v>0.14000000000000001</v>
      </c>
      <c r="G19">
        <v>0.02</v>
      </c>
      <c r="H19">
        <v>-0.11</v>
      </c>
      <c r="I19">
        <v>0.02</v>
      </c>
      <c r="J19">
        <v>0.12</v>
      </c>
      <c r="K19">
        <v>0.12</v>
      </c>
      <c r="N19" s="5" t="str">
        <f t="shared" si="0"/>
        <v>17 0.14</v>
      </c>
      <c r="P19" s="5">
        <f t="shared" si="1"/>
        <v>0</v>
      </c>
      <c r="Q19" s="5">
        <f t="shared" si="2"/>
        <v>0.12</v>
      </c>
    </row>
    <row r="20" spans="1:17" ht="15" x14ac:dyDescent="0.25">
      <c r="A20" s="5">
        <v>18</v>
      </c>
      <c r="B20" s="5">
        <v>19</v>
      </c>
      <c r="C20">
        <v>18</v>
      </c>
      <c r="D20">
        <v>0</v>
      </c>
      <c r="E20">
        <v>0.57999999999999996</v>
      </c>
      <c r="F20">
        <v>0.6</v>
      </c>
      <c r="G20">
        <v>0.22</v>
      </c>
      <c r="H20">
        <v>-0.15</v>
      </c>
      <c r="I20">
        <v>0.22</v>
      </c>
      <c r="J20">
        <v>0.5</v>
      </c>
      <c r="K20">
        <v>0.37</v>
      </c>
      <c r="N20" s="5" t="str">
        <f t="shared" si="0"/>
        <v>18 0.58</v>
      </c>
      <c r="P20" s="5">
        <f t="shared" si="1"/>
        <v>0</v>
      </c>
      <c r="Q20" s="5">
        <f t="shared" si="2"/>
        <v>0.49</v>
      </c>
    </row>
    <row r="21" spans="1:17" ht="15" x14ac:dyDescent="0.25">
      <c r="A21" s="5">
        <v>19</v>
      </c>
      <c r="B21" s="5">
        <v>20</v>
      </c>
      <c r="C21">
        <v>19</v>
      </c>
      <c r="D21">
        <v>0</v>
      </c>
      <c r="E21">
        <v>0.73</v>
      </c>
      <c r="F21">
        <v>0.95</v>
      </c>
      <c r="G21">
        <v>0.46</v>
      </c>
      <c r="H21">
        <v>-0.02</v>
      </c>
      <c r="I21">
        <v>0.46</v>
      </c>
      <c r="J21">
        <v>0.98</v>
      </c>
      <c r="K21">
        <v>0.49</v>
      </c>
      <c r="N21" s="5" t="str">
        <f t="shared" si="0"/>
        <v>19 0.73</v>
      </c>
      <c r="P21" s="5">
        <f t="shared" si="1"/>
        <v>0</v>
      </c>
      <c r="Q21" s="5">
        <f t="shared" si="2"/>
        <v>0.98</v>
      </c>
    </row>
    <row r="22" spans="1:17" ht="15" x14ac:dyDescent="0.25">
      <c r="A22" s="5">
        <v>20</v>
      </c>
      <c r="B22" s="5">
        <v>21</v>
      </c>
      <c r="C22">
        <v>20</v>
      </c>
      <c r="D22">
        <v>0.65</v>
      </c>
      <c r="E22">
        <v>0.78</v>
      </c>
      <c r="F22">
        <v>1.25</v>
      </c>
      <c r="G22">
        <v>0.69</v>
      </c>
      <c r="H22">
        <v>0.14000000000000001</v>
      </c>
      <c r="I22">
        <v>0.69</v>
      </c>
      <c r="J22">
        <v>0.89</v>
      </c>
      <c r="K22">
        <v>0.55000000000000004</v>
      </c>
      <c r="N22" s="5" t="str">
        <f t="shared" si="0"/>
        <v>20 0.78</v>
      </c>
      <c r="P22" s="5">
        <f t="shared" si="1"/>
        <v>0.65</v>
      </c>
      <c r="Q22" s="5">
        <f t="shared" si="2"/>
        <v>1.53</v>
      </c>
    </row>
    <row r="23" spans="1:17" ht="15" x14ac:dyDescent="0.25">
      <c r="A23" s="5">
        <v>21</v>
      </c>
      <c r="B23" s="5">
        <v>22</v>
      </c>
      <c r="C23">
        <v>21</v>
      </c>
      <c r="D23">
        <v>0.9</v>
      </c>
      <c r="E23">
        <v>0.82</v>
      </c>
      <c r="F23">
        <v>1.51</v>
      </c>
      <c r="G23">
        <v>0.91</v>
      </c>
      <c r="H23">
        <v>0.31</v>
      </c>
      <c r="I23">
        <v>0.91</v>
      </c>
      <c r="J23">
        <v>0.59</v>
      </c>
      <c r="K23">
        <v>0.6</v>
      </c>
      <c r="N23" s="5" t="str">
        <f t="shared" si="0"/>
        <v>21 0.82</v>
      </c>
      <c r="P23" s="5">
        <f t="shared" si="1"/>
        <v>1.55</v>
      </c>
      <c r="Q23" s="5">
        <f t="shared" si="2"/>
        <v>2.13</v>
      </c>
    </row>
    <row r="24" spans="1:17" ht="15" x14ac:dyDescent="0.25">
      <c r="A24" s="5">
        <v>22</v>
      </c>
      <c r="B24" s="5">
        <v>23</v>
      </c>
      <c r="C24">
        <v>22</v>
      </c>
      <c r="D24">
        <v>0.65</v>
      </c>
      <c r="E24">
        <v>0.84</v>
      </c>
      <c r="F24">
        <v>1.75</v>
      </c>
      <c r="G24">
        <v>1.1100000000000001</v>
      </c>
      <c r="H24">
        <v>0.48</v>
      </c>
      <c r="I24">
        <v>1.1100000000000001</v>
      </c>
      <c r="J24">
        <v>0.57999999999999996</v>
      </c>
      <c r="K24">
        <v>0.64</v>
      </c>
      <c r="N24" s="5" t="str">
        <f t="shared" si="0"/>
        <v>22 0.84</v>
      </c>
      <c r="P24" s="5">
        <f t="shared" si="1"/>
        <v>2.2000000000000002</v>
      </c>
      <c r="Q24" s="5">
        <f t="shared" si="2"/>
        <v>2.77</v>
      </c>
    </row>
    <row r="25" spans="1:17" ht="15" x14ac:dyDescent="0.25">
      <c r="A25" s="5">
        <v>23</v>
      </c>
      <c r="B25" s="5">
        <v>24</v>
      </c>
      <c r="C25">
        <v>23</v>
      </c>
      <c r="D25">
        <v>0.9</v>
      </c>
      <c r="E25">
        <v>0.85</v>
      </c>
      <c r="F25">
        <v>1.97</v>
      </c>
      <c r="G25">
        <v>1.3</v>
      </c>
      <c r="H25">
        <v>0.64</v>
      </c>
      <c r="I25">
        <v>1.3</v>
      </c>
      <c r="J25">
        <v>0.34</v>
      </c>
      <c r="K25">
        <v>0.66</v>
      </c>
      <c r="N25" s="5" t="str">
        <f t="shared" si="0"/>
        <v>23 0.85</v>
      </c>
      <c r="P25" s="5">
        <f t="shared" si="1"/>
        <v>3.1</v>
      </c>
      <c r="Q25" s="5">
        <f t="shared" si="2"/>
        <v>3.43</v>
      </c>
    </row>
    <row r="26" spans="1:17" ht="15" x14ac:dyDescent="0.25">
      <c r="A26" s="5">
        <v>24</v>
      </c>
      <c r="B26" s="5">
        <v>25</v>
      </c>
      <c r="C26">
        <v>24</v>
      </c>
      <c r="D26">
        <v>0.65</v>
      </c>
      <c r="E26">
        <v>0.87</v>
      </c>
      <c r="F26">
        <v>2.17</v>
      </c>
      <c r="G26">
        <v>1.49</v>
      </c>
      <c r="H26">
        <v>0.8</v>
      </c>
      <c r="I26">
        <v>1.49</v>
      </c>
      <c r="J26">
        <v>0.37</v>
      </c>
      <c r="K26">
        <v>0.68</v>
      </c>
      <c r="N26" s="5" t="str">
        <f t="shared" si="0"/>
        <v>24 0.87</v>
      </c>
      <c r="P26" s="5">
        <f t="shared" si="1"/>
        <v>3.75</v>
      </c>
      <c r="Q26" s="5">
        <f t="shared" si="2"/>
        <v>4.1100000000000003</v>
      </c>
    </row>
    <row r="27" spans="1:17" ht="15" x14ac:dyDescent="0.25">
      <c r="A27" s="5">
        <v>25</v>
      </c>
      <c r="B27" s="5">
        <v>26</v>
      </c>
      <c r="C27">
        <v>25</v>
      </c>
      <c r="D27">
        <v>0.9</v>
      </c>
      <c r="E27">
        <v>0.88</v>
      </c>
      <c r="F27">
        <v>2.36</v>
      </c>
      <c r="G27">
        <v>1.66</v>
      </c>
      <c r="H27">
        <v>0.96</v>
      </c>
      <c r="I27">
        <v>1.66</v>
      </c>
      <c r="J27">
        <v>0.18</v>
      </c>
      <c r="K27">
        <v>0.7</v>
      </c>
      <c r="N27" s="5" t="str">
        <f t="shared" si="0"/>
        <v>25 0.88</v>
      </c>
      <c r="P27" s="5">
        <f t="shared" si="1"/>
        <v>4.6500000000000004</v>
      </c>
      <c r="Q27" s="5">
        <f t="shared" si="2"/>
        <v>4.8100000000000005</v>
      </c>
    </row>
    <row r="28" spans="1:17" ht="15" x14ac:dyDescent="0.25">
      <c r="A28" s="5">
        <v>26</v>
      </c>
      <c r="B28" s="5">
        <v>27</v>
      </c>
      <c r="C28">
        <v>26</v>
      </c>
      <c r="D28">
        <v>0.65</v>
      </c>
      <c r="E28">
        <v>0.88</v>
      </c>
      <c r="F28">
        <v>2.54</v>
      </c>
      <c r="G28">
        <v>1.82</v>
      </c>
      <c r="H28">
        <v>1.1100000000000001</v>
      </c>
      <c r="I28">
        <v>1.82</v>
      </c>
      <c r="J28">
        <v>0.24</v>
      </c>
      <c r="K28">
        <v>0.72</v>
      </c>
      <c r="N28" s="5" t="str">
        <f t="shared" si="0"/>
        <v>26 0.88</v>
      </c>
      <c r="P28" s="5">
        <f t="shared" si="1"/>
        <v>5.3000000000000007</v>
      </c>
      <c r="Q28" s="5">
        <f t="shared" si="2"/>
        <v>5.53</v>
      </c>
    </row>
    <row r="29" spans="1:17" ht="15" x14ac:dyDescent="0.25">
      <c r="A29" s="5">
        <v>27</v>
      </c>
      <c r="B29" s="5">
        <v>28</v>
      </c>
      <c r="C29">
        <v>27</v>
      </c>
      <c r="D29">
        <v>0.9</v>
      </c>
      <c r="E29">
        <v>0.89</v>
      </c>
      <c r="F29">
        <v>2.71</v>
      </c>
      <c r="G29">
        <v>1.98</v>
      </c>
      <c r="H29">
        <v>1.25</v>
      </c>
      <c r="I29">
        <v>1.98</v>
      </c>
      <c r="J29">
        <v>7.0000000000000007E-2</v>
      </c>
      <c r="K29">
        <v>0.73</v>
      </c>
      <c r="N29" s="5" t="str">
        <f t="shared" si="0"/>
        <v>27 0.89</v>
      </c>
      <c r="P29" s="5">
        <f t="shared" si="1"/>
        <v>6.2000000000000011</v>
      </c>
      <c r="Q29" s="5">
        <f t="shared" si="2"/>
        <v>6.26</v>
      </c>
    </row>
    <row r="30" spans="1:17" ht="15" x14ac:dyDescent="0.25">
      <c r="A30" s="5">
        <v>28</v>
      </c>
      <c r="B30" s="5">
        <v>29</v>
      </c>
      <c r="C30">
        <v>28</v>
      </c>
      <c r="D30">
        <v>0.65</v>
      </c>
      <c r="E30">
        <v>0.9</v>
      </c>
      <c r="F30">
        <v>2.88</v>
      </c>
      <c r="G30">
        <v>2.14</v>
      </c>
      <c r="H30">
        <v>1.39</v>
      </c>
      <c r="I30">
        <v>2.14</v>
      </c>
      <c r="J30">
        <v>0.17</v>
      </c>
      <c r="K30">
        <v>0.74</v>
      </c>
      <c r="N30" s="5" t="str">
        <f t="shared" si="0"/>
        <v>28 0.9</v>
      </c>
      <c r="P30" s="5">
        <f t="shared" si="1"/>
        <v>6.8500000000000014</v>
      </c>
      <c r="Q30" s="5">
        <f t="shared" si="2"/>
        <v>7</v>
      </c>
    </row>
    <row r="31" spans="1:17" ht="15" x14ac:dyDescent="0.25">
      <c r="A31" s="5">
        <v>29</v>
      </c>
      <c r="B31" s="5">
        <v>30</v>
      </c>
      <c r="C31">
        <v>29</v>
      </c>
      <c r="D31">
        <v>0.9</v>
      </c>
      <c r="E31">
        <v>0.9</v>
      </c>
      <c r="F31">
        <v>3.04</v>
      </c>
      <c r="G31">
        <v>2.2799999999999998</v>
      </c>
      <c r="H31">
        <v>1.53</v>
      </c>
      <c r="I31">
        <v>2.2799999999999998</v>
      </c>
      <c r="J31">
        <v>0.02</v>
      </c>
      <c r="K31">
        <v>0.75</v>
      </c>
      <c r="N31" s="5" t="str">
        <f t="shared" si="0"/>
        <v>29 0.9</v>
      </c>
      <c r="P31" s="5">
        <f t="shared" si="1"/>
        <v>7.7500000000000018</v>
      </c>
      <c r="Q31" s="5">
        <f t="shared" si="2"/>
        <v>7.75</v>
      </c>
    </row>
    <row r="32" spans="1:17" ht="15" x14ac:dyDescent="0.25">
      <c r="A32" s="5">
        <v>30</v>
      </c>
      <c r="B32" s="5">
        <v>31</v>
      </c>
      <c r="C32">
        <v>30</v>
      </c>
      <c r="D32">
        <v>0.65</v>
      </c>
      <c r="E32">
        <v>0.9</v>
      </c>
      <c r="F32">
        <v>3.19</v>
      </c>
      <c r="G32">
        <v>2.4300000000000002</v>
      </c>
      <c r="H32">
        <v>1.67</v>
      </c>
      <c r="I32">
        <v>2.4300000000000002</v>
      </c>
      <c r="J32">
        <v>0.13</v>
      </c>
      <c r="K32">
        <v>0.76</v>
      </c>
      <c r="N32" s="5" t="str">
        <f t="shared" si="0"/>
        <v>30 0.9</v>
      </c>
      <c r="P32" s="5">
        <f t="shared" si="1"/>
        <v>8.4000000000000021</v>
      </c>
      <c r="Q32" s="5">
        <f t="shared" si="2"/>
        <v>8.51</v>
      </c>
    </row>
    <row r="33" spans="1:17" ht="15" x14ac:dyDescent="0.25">
      <c r="A33" s="5">
        <v>31</v>
      </c>
      <c r="B33" s="5">
        <v>32</v>
      </c>
      <c r="C33">
        <v>31</v>
      </c>
      <c r="D33">
        <v>0.9</v>
      </c>
      <c r="E33">
        <v>0.91</v>
      </c>
      <c r="F33">
        <v>3.34</v>
      </c>
      <c r="G33">
        <v>2.57</v>
      </c>
      <c r="H33">
        <v>1.8</v>
      </c>
      <c r="I33">
        <v>2.57</v>
      </c>
      <c r="J33">
        <v>0</v>
      </c>
      <c r="K33">
        <v>0.77</v>
      </c>
      <c r="N33" s="5" t="str">
        <f t="shared" si="0"/>
        <v>31 0.91</v>
      </c>
      <c r="P33" s="5">
        <f t="shared" si="1"/>
        <v>9.3000000000000025</v>
      </c>
      <c r="Q33" s="5">
        <f t="shared" si="2"/>
        <v>9.2799999999999994</v>
      </c>
    </row>
    <row r="34" spans="1:17" ht="15" x14ac:dyDescent="0.25">
      <c r="A34" s="5">
        <v>32</v>
      </c>
      <c r="B34" s="5">
        <v>33</v>
      </c>
      <c r="C34">
        <v>32</v>
      </c>
      <c r="D34">
        <v>0.65</v>
      </c>
      <c r="E34">
        <v>0.81</v>
      </c>
      <c r="F34">
        <v>3.38</v>
      </c>
      <c r="G34">
        <v>2.6</v>
      </c>
      <c r="H34">
        <v>1.83</v>
      </c>
      <c r="I34">
        <v>2.6</v>
      </c>
      <c r="J34">
        <v>0.12</v>
      </c>
      <c r="K34">
        <v>0.77</v>
      </c>
      <c r="N34" s="5" t="str">
        <f t="shared" si="0"/>
        <v>32 0.81</v>
      </c>
      <c r="P34" s="5">
        <f t="shared" si="1"/>
        <v>9.9500000000000028</v>
      </c>
      <c r="Q34" s="5">
        <f t="shared" si="2"/>
        <v>10.049999999999999</v>
      </c>
    </row>
    <row r="35" spans="1:17" ht="15" x14ac:dyDescent="0.25">
      <c r="A35" s="5">
        <v>33</v>
      </c>
      <c r="B35" s="5">
        <v>34</v>
      </c>
      <c r="C35">
        <v>33</v>
      </c>
      <c r="D35">
        <v>0.9</v>
      </c>
      <c r="E35">
        <v>0.91</v>
      </c>
      <c r="F35">
        <v>3.52</v>
      </c>
      <c r="G35">
        <v>2.74</v>
      </c>
      <c r="H35">
        <v>1.96</v>
      </c>
      <c r="I35">
        <v>2.74</v>
      </c>
      <c r="J35">
        <v>0</v>
      </c>
      <c r="K35">
        <v>0.78</v>
      </c>
      <c r="N35" s="5" t="str">
        <f t="shared" si="0"/>
        <v>33 0.91</v>
      </c>
      <c r="P35" s="5">
        <f t="shared" si="1"/>
        <v>10.850000000000003</v>
      </c>
      <c r="Q35" s="5">
        <f t="shared" si="2"/>
        <v>10.829999999999998</v>
      </c>
    </row>
    <row r="36" spans="1:17" ht="15" x14ac:dyDescent="0.25">
      <c r="A36" s="5">
        <v>34</v>
      </c>
      <c r="B36" s="5">
        <v>35</v>
      </c>
      <c r="C36">
        <v>34</v>
      </c>
      <c r="D36">
        <v>0.65</v>
      </c>
      <c r="E36">
        <v>0.64</v>
      </c>
      <c r="F36">
        <v>3.38</v>
      </c>
      <c r="G36">
        <v>2.6</v>
      </c>
      <c r="H36">
        <v>1.83</v>
      </c>
      <c r="I36">
        <v>2.6</v>
      </c>
      <c r="J36">
        <v>0.12</v>
      </c>
      <c r="K36">
        <v>0.77</v>
      </c>
      <c r="N36" s="5" t="str">
        <f t="shared" si="0"/>
        <v>34 0.64</v>
      </c>
      <c r="P36" s="5">
        <f t="shared" si="1"/>
        <v>11.500000000000004</v>
      </c>
      <c r="Q36" s="5">
        <f t="shared" si="2"/>
        <v>11.599999999999998</v>
      </c>
    </row>
    <row r="37" spans="1:17" ht="15" x14ac:dyDescent="0.25">
      <c r="A37" s="5">
        <v>35</v>
      </c>
      <c r="B37" s="5">
        <v>36</v>
      </c>
      <c r="C37">
        <v>35</v>
      </c>
      <c r="D37">
        <v>0.9</v>
      </c>
      <c r="E37">
        <v>0.91</v>
      </c>
      <c r="F37">
        <v>3.52</v>
      </c>
      <c r="G37">
        <v>2.74</v>
      </c>
      <c r="H37">
        <v>1.96</v>
      </c>
      <c r="I37">
        <v>2.74</v>
      </c>
      <c r="J37">
        <v>0</v>
      </c>
      <c r="K37">
        <v>0.78</v>
      </c>
      <c r="N37" s="5" t="str">
        <f t="shared" si="0"/>
        <v>35 0.91</v>
      </c>
      <c r="P37" s="5">
        <f t="shared" si="1"/>
        <v>12.400000000000004</v>
      </c>
      <c r="Q37" s="5">
        <f t="shared" si="2"/>
        <v>12.379999999999997</v>
      </c>
    </row>
    <row r="38" spans="1:17" ht="15" x14ac:dyDescent="0.25">
      <c r="A38" s="5">
        <v>36</v>
      </c>
      <c r="B38" s="5">
        <v>37</v>
      </c>
      <c r="C38">
        <v>36</v>
      </c>
      <c r="D38">
        <v>0.65</v>
      </c>
      <c r="E38">
        <v>0.64</v>
      </c>
      <c r="F38">
        <v>3.38</v>
      </c>
      <c r="G38">
        <v>2.6</v>
      </c>
      <c r="H38">
        <v>1.83</v>
      </c>
      <c r="I38">
        <v>2.6</v>
      </c>
      <c r="J38">
        <v>0.12</v>
      </c>
      <c r="K38">
        <v>0.77</v>
      </c>
      <c r="N38" s="5" t="str">
        <f t="shared" si="0"/>
        <v>36 0.64</v>
      </c>
      <c r="P38" s="5">
        <f t="shared" si="1"/>
        <v>13.050000000000004</v>
      </c>
      <c r="Q38" s="5">
        <f t="shared" si="2"/>
        <v>13.149999999999997</v>
      </c>
    </row>
    <row r="39" spans="1:17" ht="15" x14ac:dyDescent="0.25">
      <c r="A39" s="5">
        <v>37</v>
      </c>
      <c r="B39" s="5">
        <v>38</v>
      </c>
      <c r="C39">
        <v>37</v>
      </c>
      <c r="D39">
        <v>0.9</v>
      </c>
      <c r="E39">
        <v>0.91</v>
      </c>
      <c r="F39">
        <v>3.52</v>
      </c>
      <c r="G39">
        <v>2.74</v>
      </c>
      <c r="H39">
        <v>1.96</v>
      </c>
      <c r="I39">
        <v>2.74</v>
      </c>
      <c r="J39">
        <v>0</v>
      </c>
      <c r="K39">
        <v>0.78</v>
      </c>
      <c r="N39" s="5" t="str">
        <f t="shared" si="0"/>
        <v>37 0.91</v>
      </c>
      <c r="P39" s="5">
        <f t="shared" si="1"/>
        <v>13.950000000000005</v>
      </c>
      <c r="Q39" s="5">
        <f t="shared" si="2"/>
        <v>13.929999999999996</v>
      </c>
    </row>
    <row r="40" spans="1:17" ht="15" x14ac:dyDescent="0.25">
      <c r="A40" s="5">
        <v>38</v>
      </c>
      <c r="B40" s="5">
        <v>39</v>
      </c>
      <c r="C40">
        <v>38</v>
      </c>
      <c r="D40">
        <v>0.65</v>
      </c>
      <c r="E40">
        <v>0.64</v>
      </c>
      <c r="F40">
        <v>3.38</v>
      </c>
      <c r="G40">
        <v>2.6</v>
      </c>
      <c r="H40">
        <v>1.83</v>
      </c>
      <c r="I40">
        <v>2.6</v>
      </c>
      <c r="J40">
        <v>0.12</v>
      </c>
      <c r="K40">
        <v>0.77</v>
      </c>
      <c r="N40" s="5" t="str">
        <f t="shared" si="0"/>
        <v>38 0.64</v>
      </c>
      <c r="P40" s="5">
        <f t="shared" si="1"/>
        <v>14.600000000000005</v>
      </c>
      <c r="Q40" s="5">
        <f t="shared" si="2"/>
        <v>14.699999999999996</v>
      </c>
    </row>
    <row r="41" spans="1:17" ht="15" x14ac:dyDescent="0.25">
      <c r="A41" s="5">
        <v>39</v>
      </c>
      <c r="B41" s="5">
        <v>40</v>
      </c>
      <c r="C41">
        <v>39</v>
      </c>
      <c r="D41">
        <v>0.9</v>
      </c>
      <c r="E41">
        <v>0.91</v>
      </c>
      <c r="F41">
        <v>3.52</v>
      </c>
      <c r="G41">
        <v>2.74</v>
      </c>
      <c r="H41">
        <v>1.96</v>
      </c>
      <c r="I41">
        <v>2.74</v>
      </c>
      <c r="J41">
        <v>0</v>
      </c>
      <c r="K41">
        <v>0.78</v>
      </c>
      <c r="N41" s="5" t="str">
        <f t="shared" si="0"/>
        <v>39 0.91</v>
      </c>
      <c r="P41" s="5">
        <f t="shared" si="1"/>
        <v>15.500000000000005</v>
      </c>
      <c r="Q41" s="5">
        <f t="shared" si="2"/>
        <v>15.479999999999995</v>
      </c>
    </row>
    <row r="42" spans="1:17" ht="15" x14ac:dyDescent="0.25">
      <c r="A42" s="5">
        <v>40</v>
      </c>
      <c r="B42" s="5">
        <v>41</v>
      </c>
      <c r="C42">
        <v>40</v>
      </c>
      <c r="D42">
        <v>0.65</v>
      </c>
      <c r="E42">
        <v>0.64</v>
      </c>
      <c r="F42">
        <v>3.38</v>
      </c>
      <c r="G42">
        <v>2.6</v>
      </c>
      <c r="H42">
        <v>1.83</v>
      </c>
      <c r="I42">
        <v>2.6</v>
      </c>
      <c r="J42">
        <v>0.12</v>
      </c>
      <c r="K42">
        <v>0.77</v>
      </c>
      <c r="N42" s="5" t="str">
        <f t="shared" si="0"/>
        <v>40 0.64</v>
      </c>
      <c r="P42" s="5">
        <f t="shared" si="1"/>
        <v>16.150000000000006</v>
      </c>
      <c r="Q42" s="5">
        <f t="shared" si="2"/>
        <v>16.249999999999996</v>
      </c>
    </row>
    <row r="43" spans="1:17" ht="15" x14ac:dyDescent="0.25">
      <c r="A43" s="5">
        <v>41</v>
      </c>
      <c r="B43" s="5">
        <v>42</v>
      </c>
      <c r="C43">
        <v>41</v>
      </c>
      <c r="D43">
        <v>0.9</v>
      </c>
      <c r="E43">
        <v>0.91</v>
      </c>
      <c r="F43">
        <v>3.52</v>
      </c>
      <c r="G43">
        <v>2.74</v>
      </c>
      <c r="H43">
        <v>1.96</v>
      </c>
      <c r="I43">
        <v>2.74</v>
      </c>
      <c r="J43">
        <v>0</v>
      </c>
      <c r="K43">
        <v>0.78</v>
      </c>
      <c r="N43" s="5" t="str">
        <f t="shared" si="0"/>
        <v>41 0.91</v>
      </c>
      <c r="P43" s="5">
        <f t="shared" si="1"/>
        <v>17.050000000000004</v>
      </c>
      <c r="Q43" s="5">
        <f t="shared" si="2"/>
        <v>17.029999999999998</v>
      </c>
    </row>
    <row r="44" spans="1:17" ht="15" x14ac:dyDescent="0.25">
      <c r="A44" s="5">
        <v>42</v>
      </c>
      <c r="B44" s="5">
        <v>43</v>
      </c>
      <c r="C44">
        <v>42</v>
      </c>
      <c r="D44">
        <v>0.65</v>
      </c>
      <c r="E44">
        <v>0.64</v>
      </c>
      <c r="F44">
        <v>3.38</v>
      </c>
      <c r="G44">
        <v>2.6</v>
      </c>
      <c r="H44">
        <v>1.83</v>
      </c>
      <c r="I44">
        <v>2.6</v>
      </c>
      <c r="J44">
        <v>0.12</v>
      </c>
      <c r="K44">
        <v>0.77</v>
      </c>
      <c r="N44" s="5" t="str">
        <f t="shared" si="0"/>
        <v>42 0.64</v>
      </c>
      <c r="P44" s="5">
        <f t="shared" si="1"/>
        <v>17.700000000000003</v>
      </c>
      <c r="Q44" s="5">
        <f t="shared" si="2"/>
        <v>17.799999999999997</v>
      </c>
    </row>
    <row r="45" spans="1:17" ht="15" x14ac:dyDescent="0.25">
      <c r="A45" s="5">
        <v>43</v>
      </c>
      <c r="B45" s="5">
        <v>44</v>
      </c>
      <c r="C45">
        <v>43</v>
      </c>
      <c r="D45">
        <v>0.9</v>
      </c>
      <c r="E45">
        <v>0.91</v>
      </c>
      <c r="F45">
        <v>3.52</v>
      </c>
      <c r="G45">
        <v>2.74</v>
      </c>
      <c r="H45">
        <v>1.96</v>
      </c>
      <c r="I45">
        <v>2.74</v>
      </c>
      <c r="J45">
        <v>0</v>
      </c>
      <c r="K45">
        <v>0.78</v>
      </c>
      <c r="N45" s="5" t="str">
        <f t="shared" si="0"/>
        <v>43 0.91</v>
      </c>
      <c r="P45" s="5">
        <f t="shared" si="1"/>
        <v>18.600000000000001</v>
      </c>
      <c r="Q45" s="5">
        <f t="shared" si="2"/>
        <v>18.579999999999998</v>
      </c>
    </row>
    <row r="46" spans="1:17" ht="15" x14ac:dyDescent="0.25">
      <c r="A46" s="5">
        <v>44</v>
      </c>
      <c r="B46" s="5">
        <v>45</v>
      </c>
      <c r="C46">
        <v>44</v>
      </c>
      <c r="D46">
        <v>0.65</v>
      </c>
      <c r="E46">
        <v>0.64</v>
      </c>
      <c r="F46">
        <v>3.38</v>
      </c>
      <c r="G46">
        <v>2.6</v>
      </c>
      <c r="H46">
        <v>1.83</v>
      </c>
      <c r="I46">
        <v>2.6</v>
      </c>
      <c r="J46">
        <v>0.12</v>
      </c>
      <c r="K46">
        <v>0.77</v>
      </c>
      <c r="N46" s="5" t="str">
        <f t="shared" si="0"/>
        <v>44 0.64</v>
      </c>
      <c r="P46" s="5">
        <f t="shared" si="1"/>
        <v>19.25</v>
      </c>
      <c r="Q46" s="5">
        <f t="shared" si="2"/>
        <v>19.349999999999998</v>
      </c>
    </row>
    <row r="47" spans="1:17" ht="15" x14ac:dyDescent="0.25">
      <c r="A47" s="5">
        <v>45</v>
      </c>
      <c r="B47" s="5">
        <v>46</v>
      </c>
      <c r="C47">
        <v>45</v>
      </c>
      <c r="D47">
        <v>0.9</v>
      </c>
      <c r="E47">
        <v>0.91</v>
      </c>
      <c r="F47">
        <v>3.52</v>
      </c>
      <c r="G47">
        <v>2.74</v>
      </c>
      <c r="H47">
        <v>1.96</v>
      </c>
      <c r="I47">
        <v>2.74</v>
      </c>
      <c r="J47">
        <v>0</v>
      </c>
      <c r="K47">
        <v>0.78</v>
      </c>
      <c r="N47" s="5" t="str">
        <f t="shared" si="0"/>
        <v>45 0.91</v>
      </c>
      <c r="P47" s="5">
        <f t="shared" si="1"/>
        <v>20.149999999999999</v>
      </c>
      <c r="Q47" s="5">
        <f t="shared" si="2"/>
        <v>20.13</v>
      </c>
    </row>
    <row r="48" spans="1:17" ht="15" x14ac:dyDescent="0.25">
      <c r="A48" s="5">
        <v>46</v>
      </c>
      <c r="B48" s="5">
        <v>47</v>
      </c>
      <c r="C48">
        <v>46</v>
      </c>
      <c r="D48">
        <v>0.65</v>
      </c>
      <c r="E48">
        <v>0.64</v>
      </c>
      <c r="F48">
        <v>3.38</v>
      </c>
      <c r="G48">
        <v>2.6</v>
      </c>
      <c r="H48">
        <v>1.83</v>
      </c>
      <c r="I48">
        <v>2.6</v>
      </c>
      <c r="J48">
        <v>0.12</v>
      </c>
      <c r="K48">
        <v>0.77</v>
      </c>
      <c r="N48" s="5" t="str">
        <f t="shared" si="0"/>
        <v>46 0.64</v>
      </c>
      <c r="P48" s="5">
        <f t="shared" si="1"/>
        <v>20.799999999999997</v>
      </c>
      <c r="Q48" s="5">
        <f t="shared" si="2"/>
        <v>20.9</v>
      </c>
    </row>
    <row r="49" spans="1:17" ht="15" x14ac:dyDescent="0.25">
      <c r="A49" s="5">
        <v>47</v>
      </c>
      <c r="B49" s="5">
        <v>48</v>
      </c>
      <c r="C49">
        <v>47</v>
      </c>
      <c r="D49">
        <v>0.9</v>
      </c>
      <c r="E49">
        <v>0.91</v>
      </c>
      <c r="F49">
        <v>3.52</v>
      </c>
      <c r="G49">
        <v>2.74</v>
      </c>
      <c r="H49">
        <v>1.96</v>
      </c>
      <c r="I49">
        <v>2.74</v>
      </c>
      <c r="J49">
        <v>0</v>
      </c>
      <c r="K49">
        <v>0.78</v>
      </c>
      <c r="N49" s="5" t="str">
        <f t="shared" si="0"/>
        <v>47 0.91</v>
      </c>
      <c r="P49" s="5">
        <f t="shared" si="1"/>
        <v>21.699999999999996</v>
      </c>
      <c r="Q49" s="5">
        <f t="shared" si="2"/>
        <v>21.68</v>
      </c>
    </row>
    <row r="50" spans="1:17" ht="15" x14ac:dyDescent="0.25">
      <c r="A50" s="5">
        <v>48</v>
      </c>
      <c r="B50" s="5">
        <v>49</v>
      </c>
      <c r="C50">
        <v>48</v>
      </c>
      <c r="D50">
        <v>0.65</v>
      </c>
      <c r="E50">
        <v>0.64</v>
      </c>
      <c r="F50">
        <v>3.38</v>
      </c>
      <c r="G50">
        <v>2.6</v>
      </c>
      <c r="H50">
        <v>1.83</v>
      </c>
      <c r="I50">
        <v>2.6</v>
      </c>
      <c r="J50">
        <v>0.12</v>
      </c>
      <c r="K50">
        <v>0.77</v>
      </c>
      <c r="N50" s="5" t="str">
        <f t="shared" si="0"/>
        <v>48 0.64</v>
      </c>
      <c r="P50" s="5">
        <f t="shared" si="1"/>
        <v>22.349999999999994</v>
      </c>
      <c r="Q50" s="5">
        <f t="shared" si="2"/>
        <v>22.45</v>
      </c>
    </row>
    <row r="51" spans="1:17" ht="15" x14ac:dyDescent="0.25">
      <c r="A51" s="5">
        <v>49</v>
      </c>
      <c r="B51" s="5">
        <v>50</v>
      </c>
      <c r="C51">
        <v>49</v>
      </c>
      <c r="D51">
        <v>0.9</v>
      </c>
      <c r="E51">
        <v>0.91</v>
      </c>
      <c r="F51">
        <v>3.52</v>
      </c>
      <c r="G51">
        <v>2.74</v>
      </c>
      <c r="H51">
        <v>1.96</v>
      </c>
      <c r="I51">
        <v>2.74</v>
      </c>
      <c r="J51">
        <v>0</v>
      </c>
      <c r="K51">
        <v>0.78</v>
      </c>
      <c r="N51" s="5" t="str">
        <f t="shared" si="0"/>
        <v>49 0.91</v>
      </c>
      <c r="P51" s="5">
        <f t="shared" si="1"/>
        <v>23.249999999999993</v>
      </c>
      <c r="Q51" s="5">
        <f t="shared" si="2"/>
        <v>23.23</v>
      </c>
    </row>
    <row r="52" spans="1:17" ht="15" x14ac:dyDescent="0.25">
      <c r="A52" s="5">
        <v>50</v>
      </c>
      <c r="B52" s="5">
        <v>51</v>
      </c>
      <c r="C52">
        <v>50</v>
      </c>
      <c r="D52">
        <v>0.65</v>
      </c>
      <c r="E52">
        <v>0.64</v>
      </c>
      <c r="F52">
        <v>3.38</v>
      </c>
      <c r="G52">
        <v>2.6</v>
      </c>
      <c r="H52">
        <v>1.83</v>
      </c>
      <c r="I52">
        <v>2.6</v>
      </c>
      <c r="J52">
        <v>0.12</v>
      </c>
      <c r="K52">
        <v>0.77</v>
      </c>
      <c r="N52" s="5" t="str">
        <f t="shared" si="0"/>
        <v>50 0.64</v>
      </c>
      <c r="P52" s="5">
        <f t="shared" si="1"/>
        <v>23.899999999999991</v>
      </c>
      <c r="Q52" s="5">
        <f t="shared" si="2"/>
        <v>24</v>
      </c>
    </row>
    <row r="53" spans="1:17" ht="15" x14ac:dyDescent="0.25">
      <c r="A53" s="5">
        <v>51</v>
      </c>
      <c r="B53" s="5">
        <v>52</v>
      </c>
      <c r="C53">
        <v>51</v>
      </c>
      <c r="D53">
        <v>0.9</v>
      </c>
      <c r="E53">
        <v>0.91</v>
      </c>
      <c r="F53">
        <v>3.52</v>
      </c>
      <c r="G53">
        <v>2.74</v>
      </c>
      <c r="H53">
        <v>1.96</v>
      </c>
      <c r="I53">
        <v>2.74</v>
      </c>
      <c r="J53">
        <v>0</v>
      </c>
      <c r="K53">
        <v>0.78</v>
      </c>
      <c r="N53" s="5" t="str">
        <f t="shared" si="0"/>
        <v>51 0.91</v>
      </c>
      <c r="P53" s="5">
        <f t="shared" si="1"/>
        <v>24.79999999999999</v>
      </c>
      <c r="Q53" s="5">
        <f t="shared" si="2"/>
        <v>24.78</v>
      </c>
    </row>
    <row r="54" spans="1:17" ht="15" x14ac:dyDescent="0.25">
      <c r="A54" s="5">
        <v>52</v>
      </c>
      <c r="B54" s="5">
        <v>53</v>
      </c>
      <c r="C54">
        <v>52</v>
      </c>
      <c r="D54">
        <v>0.65</v>
      </c>
      <c r="E54">
        <v>0.64</v>
      </c>
      <c r="F54">
        <v>3.38</v>
      </c>
      <c r="G54">
        <v>2.6</v>
      </c>
      <c r="H54">
        <v>1.83</v>
      </c>
      <c r="I54">
        <v>2.6</v>
      </c>
      <c r="J54">
        <v>0.12</v>
      </c>
      <c r="K54">
        <v>0.77</v>
      </c>
      <c r="N54" s="5" t="str">
        <f t="shared" si="0"/>
        <v>52 0.64</v>
      </c>
      <c r="P54" s="5">
        <f t="shared" si="1"/>
        <v>25.449999999999989</v>
      </c>
      <c r="Q54" s="5">
        <f t="shared" si="2"/>
        <v>25.55</v>
      </c>
    </row>
    <row r="55" spans="1:17" ht="15" x14ac:dyDescent="0.25">
      <c r="A55" s="5">
        <v>53</v>
      </c>
      <c r="B55" s="5">
        <v>54</v>
      </c>
      <c r="C55">
        <v>53</v>
      </c>
      <c r="D55">
        <v>0.9</v>
      </c>
      <c r="E55">
        <v>0.91</v>
      </c>
      <c r="F55">
        <v>3.52</v>
      </c>
      <c r="G55">
        <v>2.74</v>
      </c>
      <c r="H55">
        <v>1.96</v>
      </c>
      <c r="I55">
        <v>2.74</v>
      </c>
      <c r="J55">
        <v>0</v>
      </c>
      <c r="K55">
        <v>0.78</v>
      </c>
      <c r="N55" s="5" t="str">
        <f t="shared" si="0"/>
        <v>53 0.91</v>
      </c>
      <c r="P55" s="5">
        <f t="shared" si="1"/>
        <v>26.349999999999987</v>
      </c>
      <c r="Q55" s="5">
        <f t="shared" si="2"/>
        <v>26.330000000000002</v>
      </c>
    </row>
    <row r="56" spans="1:17" ht="15" x14ac:dyDescent="0.25">
      <c r="A56" s="5">
        <v>54</v>
      </c>
      <c r="B56" s="5">
        <v>55</v>
      </c>
      <c r="C56">
        <v>54</v>
      </c>
      <c r="D56">
        <v>0.65</v>
      </c>
      <c r="E56">
        <v>0.64</v>
      </c>
      <c r="F56">
        <v>3.38</v>
      </c>
      <c r="G56">
        <v>2.6</v>
      </c>
      <c r="H56">
        <v>1.83</v>
      </c>
      <c r="I56">
        <v>2.6</v>
      </c>
      <c r="J56">
        <v>0.12</v>
      </c>
      <c r="K56">
        <v>0.77</v>
      </c>
      <c r="N56" s="5" t="str">
        <f t="shared" si="0"/>
        <v>54 0.64</v>
      </c>
      <c r="P56" s="5">
        <f t="shared" si="1"/>
        <v>26.999999999999986</v>
      </c>
      <c r="Q56" s="5">
        <f t="shared" si="2"/>
        <v>27.1</v>
      </c>
    </row>
    <row r="57" spans="1:17" ht="15" x14ac:dyDescent="0.25">
      <c r="A57" s="5">
        <v>55</v>
      </c>
      <c r="B57" s="5">
        <v>56</v>
      </c>
      <c r="C57">
        <v>55</v>
      </c>
      <c r="D57">
        <v>0.9</v>
      </c>
      <c r="E57">
        <v>0.91</v>
      </c>
      <c r="F57">
        <v>3.52</v>
      </c>
      <c r="G57">
        <v>2.74</v>
      </c>
      <c r="H57">
        <v>1.96</v>
      </c>
      <c r="I57">
        <v>2.74</v>
      </c>
      <c r="J57">
        <v>0</v>
      </c>
      <c r="K57">
        <v>0.78</v>
      </c>
      <c r="N57" s="5" t="str">
        <f t="shared" si="0"/>
        <v>55 0.91</v>
      </c>
      <c r="P57" s="5">
        <f t="shared" si="1"/>
        <v>27.899999999999984</v>
      </c>
      <c r="Q57" s="5">
        <f t="shared" si="2"/>
        <v>27.880000000000003</v>
      </c>
    </row>
    <row r="58" spans="1:17" ht="15" x14ac:dyDescent="0.25">
      <c r="A58" s="5">
        <v>56</v>
      </c>
      <c r="B58" s="5">
        <v>57</v>
      </c>
      <c r="C58">
        <v>56</v>
      </c>
      <c r="D58">
        <v>0.65</v>
      </c>
      <c r="E58">
        <v>0.64</v>
      </c>
      <c r="F58">
        <v>3.38</v>
      </c>
      <c r="G58">
        <v>2.6</v>
      </c>
      <c r="H58">
        <v>1.83</v>
      </c>
      <c r="I58">
        <v>2.6</v>
      </c>
      <c r="J58">
        <v>0.12</v>
      </c>
      <c r="K58">
        <v>0.77</v>
      </c>
      <c r="N58" s="5" t="str">
        <f t="shared" si="0"/>
        <v>56 0.64</v>
      </c>
      <c r="P58" s="5">
        <f t="shared" si="1"/>
        <v>28.549999999999983</v>
      </c>
      <c r="Q58" s="5">
        <f t="shared" si="2"/>
        <v>28.650000000000002</v>
      </c>
    </row>
    <row r="59" spans="1:17" ht="15" x14ac:dyDescent="0.25">
      <c r="A59" s="5">
        <v>57</v>
      </c>
      <c r="B59" s="5">
        <v>58</v>
      </c>
      <c r="C59">
        <v>57</v>
      </c>
      <c r="D59">
        <v>0.9</v>
      </c>
      <c r="E59">
        <v>0.91</v>
      </c>
      <c r="F59">
        <v>3.52</v>
      </c>
      <c r="G59">
        <v>2.74</v>
      </c>
      <c r="H59">
        <v>1.96</v>
      </c>
      <c r="I59">
        <v>2.74</v>
      </c>
      <c r="J59">
        <v>0</v>
      </c>
      <c r="K59">
        <v>0.78</v>
      </c>
      <c r="N59" s="5" t="str">
        <f t="shared" si="0"/>
        <v>57 0.91</v>
      </c>
      <c r="P59" s="5">
        <f t="shared" si="1"/>
        <v>29.449999999999982</v>
      </c>
      <c r="Q59" s="5">
        <f t="shared" si="2"/>
        <v>29.430000000000003</v>
      </c>
    </row>
    <row r="60" spans="1:17" ht="15" x14ac:dyDescent="0.25">
      <c r="A60" s="5">
        <v>58</v>
      </c>
      <c r="B60" s="5">
        <v>59</v>
      </c>
      <c r="C60">
        <v>58</v>
      </c>
      <c r="D60">
        <v>0.65</v>
      </c>
      <c r="E60">
        <v>0.64</v>
      </c>
      <c r="F60">
        <v>3.38</v>
      </c>
      <c r="G60">
        <v>2.6</v>
      </c>
      <c r="H60">
        <v>1.83</v>
      </c>
      <c r="I60">
        <v>2.6</v>
      </c>
      <c r="J60">
        <v>0.12</v>
      </c>
      <c r="K60">
        <v>0.77</v>
      </c>
      <c r="N60" s="5" t="str">
        <f t="shared" si="0"/>
        <v>58 0.64</v>
      </c>
      <c r="P60" s="5">
        <f t="shared" si="1"/>
        <v>30.09999999999998</v>
      </c>
      <c r="Q60" s="5">
        <f t="shared" si="2"/>
        <v>30.200000000000003</v>
      </c>
    </row>
    <row r="61" spans="1:17" ht="15" x14ac:dyDescent="0.25">
      <c r="A61" s="5">
        <v>59</v>
      </c>
      <c r="B61" s="5">
        <v>60</v>
      </c>
      <c r="C61">
        <v>59</v>
      </c>
      <c r="D61">
        <v>0.9</v>
      </c>
      <c r="E61">
        <v>0.91</v>
      </c>
      <c r="F61">
        <v>3.52</v>
      </c>
      <c r="G61">
        <v>2.74</v>
      </c>
      <c r="H61">
        <v>1.96</v>
      </c>
      <c r="I61">
        <v>2.74</v>
      </c>
      <c r="J61">
        <v>0</v>
      </c>
      <c r="K61">
        <v>0.78</v>
      </c>
      <c r="N61" s="5" t="str">
        <f t="shared" si="0"/>
        <v>59 0.91</v>
      </c>
      <c r="P61" s="5">
        <f t="shared" si="1"/>
        <v>30.999999999999979</v>
      </c>
      <c r="Q61" s="5">
        <f t="shared" si="2"/>
        <v>30.980000000000004</v>
      </c>
    </row>
    <row r="62" spans="1:17" ht="15" x14ac:dyDescent="0.25">
      <c r="A62" s="5">
        <v>60</v>
      </c>
      <c r="B62" s="5">
        <v>61</v>
      </c>
      <c r="C62">
        <v>60</v>
      </c>
      <c r="D62">
        <v>0.65</v>
      </c>
      <c r="E62">
        <v>0.64</v>
      </c>
      <c r="F62">
        <v>3.38</v>
      </c>
      <c r="G62">
        <v>2.6</v>
      </c>
      <c r="H62">
        <v>1.83</v>
      </c>
      <c r="I62">
        <v>2.6</v>
      </c>
      <c r="J62">
        <v>0.12</v>
      </c>
      <c r="K62">
        <v>0.77</v>
      </c>
      <c r="N62" s="5" t="str">
        <f t="shared" si="0"/>
        <v>60 0.64</v>
      </c>
      <c r="P62" s="5">
        <f t="shared" si="1"/>
        <v>31.649999999999977</v>
      </c>
      <c r="Q62" s="5">
        <f t="shared" si="2"/>
        <v>31.750000000000004</v>
      </c>
    </row>
    <row r="63" spans="1:17" ht="15" x14ac:dyDescent="0.25">
      <c r="A63" s="5">
        <v>61</v>
      </c>
      <c r="B63" s="5">
        <v>62</v>
      </c>
      <c r="C63">
        <v>61</v>
      </c>
      <c r="D63">
        <v>0.9</v>
      </c>
      <c r="E63">
        <v>0.91</v>
      </c>
      <c r="F63">
        <v>3.52</v>
      </c>
      <c r="G63">
        <v>2.74</v>
      </c>
      <c r="H63">
        <v>1.96</v>
      </c>
      <c r="I63">
        <v>2.74</v>
      </c>
      <c r="J63">
        <v>0</v>
      </c>
      <c r="K63">
        <v>0.78</v>
      </c>
      <c r="N63" s="5" t="str">
        <f t="shared" si="0"/>
        <v>61 0.91</v>
      </c>
      <c r="P63" s="5">
        <f t="shared" si="1"/>
        <v>32.549999999999976</v>
      </c>
      <c r="Q63" s="5">
        <f t="shared" si="2"/>
        <v>32.53</v>
      </c>
    </row>
    <row r="64" spans="1:17" ht="15" x14ac:dyDescent="0.25">
      <c r="A64" s="5">
        <v>62</v>
      </c>
      <c r="B64" s="5">
        <v>63</v>
      </c>
      <c r="C64">
        <v>62</v>
      </c>
      <c r="D64">
        <v>0.65</v>
      </c>
      <c r="E64">
        <v>0.64</v>
      </c>
      <c r="F64">
        <v>3.38</v>
      </c>
      <c r="G64">
        <v>2.6</v>
      </c>
      <c r="H64">
        <v>1.83</v>
      </c>
      <c r="I64">
        <v>2.6</v>
      </c>
      <c r="J64">
        <v>0.12</v>
      </c>
      <c r="K64">
        <v>0.77</v>
      </c>
      <c r="N64" s="5" t="str">
        <f t="shared" si="0"/>
        <v>62 0.64</v>
      </c>
      <c r="P64" s="5">
        <f t="shared" si="1"/>
        <v>33.199999999999974</v>
      </c>
      <c r="Q64" s="5">
        <f t="shared" si="2"/>
        <v>33.300000000000004</v>
      </c>
    </row>
    <row r="65" spans="1:17" ht="15" x14ac:dyDescent="0.25">
      <c r="A65" s="5">
        <v>63</v>
      </c>
      <c r="B65" s="5">
        <v>64</v>
      </c>
      <c r="C65">
        <v>63</v>
      </c>
      <c r="D65">
        <v>0.9</v>
      </c>
      <c r="E65">
        <v>0.91</v>
      </c>
      <c r="F65">
        <v>3.52</v>
      </c>
      <c r="G65">
        <v>2.74</v>
      </c>
      <c r="H65">
        <v>1.96</v>
      </c>
      <c r="I65">
        <v>2.74</v>
      </c>
      <c r="J65">
        <v>0</v>
      </c>
      <c r="K65">
        <v>0.78</v>
      </c>
      <c r="N65" s="5" t="str">
        <f t="shared" si="0"/>
        <v>63 0.91</v>
      </c>
      <c r="P65" s="5">
        <f t="shared" si="1"/>
        <v>34.099999999999973</v>
      </c>
      <c r="Q65" s="5">
        <f t="shared" si="2"/>
        <v>34.080000000000005</v>
      </c>
    </row>
    <row r="66" spans="1:17" ht="15" x14ac:dyDescent="0.25">
      <c r="A66" s="5">
        <v>64</v>
      </c>
      <c r="B66" s="5">
        <v>65</v>
      </c>
      <c r="C66">
        <v>64</v>
      </c>
      <c r="D66">
        <v>0.65</v>
      </c>
      <c r="E66">
        <v>0.73</v>
      </c>
      <c r="F66">
        <v>3.46</v>
      </c>
      <c r="G66">
        <v>2.69</v>
      </c>
      <c r="H66">
        <v>1.91</v>
      </c>
      <c r="I66">
        <v>2.69</v>
      </c>
      <c r="J66">
        <v>0.13</v>
      </c>
      <c r="K66">
        <v>0.78</v>
      </c>
      <c r="N66" s="5" t="str">
        <f t="shared" si="0"/>
        <v>64 0.73</v>
      </c>
      <c r="P66" s="5">
        <f t="shared" si="1"/>
        <v>34.749999999999972</v>
      </c>
      <c r="Q66" s="5">
        <f t="shared" si="2"/>
        <v>34.860000000000007</v>
      </c>
    </row>
    <row r="67" spans="1:17" ht="15" x14ac:dyDescent="0.25">
      <c r="A67" s="5">
        <v>65</v>
      </c>
      <c r="B67" s="5">
        <v>66</v>
      </c>
      <c r="C67">
        <v>65</v>
      </c>
      <c r="D67">
        <v>0.9</v>
      </c>
      <c r="E67">
        <v>0.91</v>
      </c>
      <c r="F67">
        <v>3.6</v>
      </c>
      <c r="G67">
        <v>2.82</v>
      </c>
      <c r="H67">
        <v>2.04</v>
      </c>
      <c r="I67">
        <v>2.82</v>
      </c>
      <c r="J67">
        <v>0.01</v>
      </c>
      <c r="K67">
        <v>0.78</v>
      </c>
      <c r="N67" s="5" t="str">
        <f t="shared" ref="N67:N102" si="3">C67&amp;" "&amp;E67</f>
        <v>65 0.91</v>
      </c>
      <c r="P67" s="5">
        <f t="shared" si="1"/>
        <v>35.64999999999997</v>
      </c>
      <c r="Q67" s="5">
        <f t="shared" si="2"/>
        <v>35.640000000000008</v>
      </c>
    </row>
    <row r="68" spans="1:17" ht="15" x14ac:dyDescent="0.25">
      <c r="A68" s="5">
        <v>66</v>
      </c>
      <c r="B68" s="5">
        <v>67</v>
      </c>
      <c r="C68">
        <v>66</v>
      </c>
      <c r="D68">
        <v>0.65</v>
      </c>
      <c r="E68">
        <v>0.92</v>
      </c>
      <c r="F68">
        <v>3.74</v>
      </c>
      <c r="G68">
        <v>2.95</v>
      </c>
      <c r="H68">
        <v>2.16</v>
      </c>
      <c r="I68">
        <v>2.95</v>
      </c>
      <c r="J68">
        <v>0.15</v>
      </c>
      <c r="K68">
        <v>0.79</v>
      </c>
      <c r="N68" s="5" t="str">
        <f t="shared" si="3"/>
        <v>66 0.92</v>
      </c>
      <c r="P68" s="5">
        <f t="shared" ref="P68:P102" si="4">P67+D68</f>
        <v>36.299999999999969</v>
      </c>
      <c r="Q68" s="5">
        <f t="shared" ref="Q68:Q102" si="5">Q67+K68</f>
        <v>36.430000000000007</v>
      </c>
    </row>
    <row r="69" spans="1:17" ht="15" x14ac:dyDescent="0.25">
      <c r="A69" s="5">
        <v>67</v>
      </c>
      <c r="B69" s="5">
        <v>68</v>
      </c>
      <c r="C69">
        <v>67</v>
      </c>
      <c r="D69">
        <v>0.9</v>
      </c>
      <c r="E69">
        <v>0.92</v>
      </c>
      <c r="F69">
        <v>3.87</v>
      </c>
      <c r="G69">
        <v>3.07</v>
      </c>
      <c r="H69">
        <v>2.2799999999999998</v>
      </c>
      <c r="I69">
        <v>3.07</v>
      </c>
      <c r="J69">
        <v>0.04</v>
      </c>
      <c r="K69">
        <v>0.79</v>
      </c>
      <c r="N69" s="5" t="str">
        <f t="shared" si="3"/>
        <v>67 0.92</v>
      </c>
      <c r="P69" s="5">
        <f t="shared" si="4"/>
        <v>37.199999999999967</v>
      </c>
      <c r="Q69" s="5">
        <f t="shared" si="5"/>
        <v>37.220000000000006</v>
      </c>
    </row>
    <row r="70" spans="1:17" ht="15" x14ac:dyDescent="0.25">
      <c r="A70" s="5">
        <v>68</v>
      </c>
      <c r="B70" s="5">
        <v>69</v>
      </c>
      <c r="C70">
        <v>68</v>
      </c>
      <c r="D70">
        <v>0.65</v>
      </c>
      <c r="E70">
        <v>0.92</v>
      </c>
      <c r="F70">
        <v>3.99</v>
      </c>
      <c r="G70">
        <v>3.19</v>
      </c>
      <c r="H70">
        <v>2.39</v>
      </c>
      <c r="I70">
        <v>3.19</v>
      </c>
      <c r="J70">
        <v>0.19</v>
      </c>
      <c r="K70">
        <v>0.8</v>
      </c>
      <c r="N70" s="5" t="str">
        <f t="shared" si="3"/>
        <v>68 0.92</v>
      </c>
      <c r="P70" s="5">
        <f t="shared" si="4"/>
        <v>37.849999999999966</v>
      </c>
      <c r="Q70" s="5">
        <f t="shared" si="5"/>
        <v>38.020000000000003</v>
      </c>
    </row>
    <row r="71" spans="1:17" ht="15" x14ac:dyDescent="0.25">
      <c r="A71" s="5">
        <v>69</v>
      </c>
      <c r="B71" s="5">
        <v>70</v>
      </c>
      <c r="C71">
        <v>69</v>
      </c>
      <c r="D71">
        <v>0.9</v>
      </c>
      <c r="E71">
        <v>0.92</v>
      </c>
      <c r="F71">
        <v>4.12</v>
      </c>
      <c r="G71">
        <v>3.31</v>
      </c>
      <c r="H71">
        <v>2.5099999999999998</v>
      </c>
      <c r="I71">
        <v>3.31</v>
      </c>
      <c r="J71">
        <v>0.1</v>
      </c>
      <c r="K71">
        <v>0.8</v>
      </c>
      <c r="N71" s="5" t="str">
        <f t="shared" si="3"/>
        <v>69 0.92</v>
      </c>
      <c r="P71" s="5">
        <f t="shared" si="4"/>
        <v>38.749999999999964</v>
      </c>
      <c r="Q71" s="5">
        <f t="shared" si="5"/>
        <v>38.82</v>
      </c>
    </row>
    <row r="72" spans="1:17" ht="15" x14ac:dyDescent="0.25">
      <c r="A72" s="5">
        <v>70</v>
      </c>
      <c r="B72" s="5">
        <v>71</v>
      </c>
      <c r="C72">
        <v>70</v>
      </c>
      <c r="D72">
        <v>0.65</v>
      </c>
      <c r="E72">
        <v>0.93</v>
      </c>
      <c r="F72">
        <v>4.24</v>
      </c>
      <c r="G72">
        <v>3.43</v>
      </c>
      <c r="H72">
        <v>2.62</v>
      </c>
      <c r="I72">
        <v>3.43</v>
      </c>
      <c r="J72">
        <v>0.26</v>
      </c>
      <c r="K72">
        <v>0.81</v>
      </c>
      <c r="N72" s="5" t="str">
        <f t="shared" si="3"/>
        <v>70 0.93</v>
      </c>
      <c r="P72" s="5">
        <f t="shared" si="4"/>
        <v>39.399999999999963</v>
      </c>
      <c r="Q72" s="5">
        <f t="shared" si="5"/>
        <v>39.630000000000003</v>
      </c>
    </row>
    <row r="73" spans="1:17" ht="15" x14ac:dyDescent="0.25">
      <c r="A73" s="5">
        <v>71</v>
      </c>
      <c r="B73" s="5">
        <v>72</v>
      </c>
      <c r="C73">
        <v>71</v>
      </c>
      <c r="D73">
        <v>0.9</v>
      </c>
      <c r="E73">
        <v>0.93</v>
      </c>
      <c r="F73">
        <v>4.3600000000000003</v>
      </c>
      <c r="G73">
        <v>3.54</v>
      </c>
      <c r="H73">
        <v>2.73</v>
      </c>
      <c r="I73">
        <v>3.54</v>
      </c>
      <c r="J73">
        <v>0.17</v>
      </c>
      <c r="K73">
        <v>0.81</v>
      </c>
      <c r="N73" s="5" t="str">
        <f t="shared" si="3"/>
        <v>71 0.93</v>
      </c>
      <c r="P73" s="5">
        <f t="shared" si="4"/>
        <v>40.299999999999962</v>
      </c>
      <c r="Q73" s="5">
        <f t="shared" si="5"/>
        <v>40.440000000000005</v>
      </c>
    </row>
    <row r="74" spans="1:17" ht="15" x14ac:dyDescent="0.25">
      <c r="A74" s="5">
        <v>72</v>
      </c>
      <c r="B74" s="5">
        <v>73</v>
      </c>
      <c r="C74">
        <v>72</v>
      </c>
      <c r="D74">
        <v>0.65</v>
      </c>
      <c r="E74">
        <v>0.93</v>
      </c>
      <c r="F74">
        <v>4.47</v>
      </c>
      <c r="G74">
        <v>3.65</v>
      </c>
      <c r="H74">
        <v>2.84</v>
      </c>
      <c r="I74">
        <v>3.65</v>
      </c>
      <c r="J74">
        <v>0.34</v>
      </c>
      <c r="K74">
        <v>0.82</v>
      </c>
      <c r="N74" s="5" t="str">
        <f t="shared" si="3"/>
        <v>72 0.93</v>
      </c>
      <c r="P74" s="5">
        <f t="shared" si="4"/>
        <v>40.94999999999996</v>
      </c>
      <c r="Q74" s="5">
        <f t="shared" si="5"/>
        <v>41.260000000000005</v>
      </c>
    </row>
    <row r="75" spans="1:17" ht="15" x14ac:dyDescent="0.25">
      <c r="A75" s="5">
        <v>73</v>
      </c>
      <c r="B75" s="5">
        <v>74</v>
      </c>
      <c r="C75">
        <v>73</v>
      </c>
      <c r="D75">
        <v>0.9</v>
      </c>
      <c r="E75">
        <v>0.93</v>
      </c>
      <c r="F75">
        <v>4.58</v>
      </c>
      <c r="G75">
        <v>3.76</v>
      </c>
      <c r="H75">
        <v>2.94</v>
      </c>
      <c r="I75">
        <v>3.76</v>
      </c>
      <c r="J75">
        <v>0.26</v>
      </c>
      <c r="K75">
        <v>0.82</v>
      </c>
      <c r="N75" s="5" t="str">
        <f t="shared" si="3"/>
        <v>73 0.93</v>
      </c>
      <c r="P75" s="5">
        <f t="shared" si="4"/>
        <v>41.849999999999959</v>
      </c>
      <c r="Q75" s="5">
        <f t="shared" si="5"/>
        <v>42.080000000000005</v>
      </c>
    </row>
    <row r="76" spans="1:17" ht="15" x14ac:dyDescent="0.25">
      <c r="A76" s="5">
        <v>74</v>
      </c>
      <c r="B76" s="5">
        <v>75</v>
      </c>
      <c r="C76">
        <v>74</v>
      </c>
      <c r="D76">
        <v>0.65</v>
      </c>
      <c r="E76">
        <v>0.93</v>
      </c>
      <c r="F76">
        <v>4.6900000000000004</v>
      </c>
      <c r="G76">
        <v>3.87</v>
      </c>
      <c r="H76">
        <v>3.05</v>
      </c>
      <c r="I76">
        <v>3.87</v>
      </c>
      <c r="J76">
        <v>0.43</v>
      </c>
      <c r="K76">
        <v>0.82</v>
      </c>
      <c r="N76" s="5" t="str">
        <f t="shared" si="3"/>
        <v>74 0.93</v>
      </c>
      <c r="P76" s="5">
        <f t="shared" si="4"/>
        <v>42.499999999999957</v>
      </c>
      <c r="Q76" s="5">
        <f t="shared" si="5"/>
        <v>42.900000000000006</v>
      </c>
    </row>
    <row r="77" spans="1:17" ht="15" x14ac:dyDescent="0.25">
      <c r="A77" s="5">
        <v>75</v>
      </c>
      <c r="B77" s="5">
        <v>76</v>
      </c>
      <c r="C77">
        <v>75</v>
      </c>
      <c r="D77">
        <v>0.9</v>
      </c>
      <c r="E77">
        <v>0.88</v>
      </c>
      <c r="F77">
        <v>4.75</v>
      </c>
      <c r="G77">
        <v>3.92</v>
      </c>
      <c r="H77">
        <v>3.1</v>
      </c>
      <c r="I77">
        <v>3.92</v>
      </c>
      <c r="J77">
        <v>0.36</v>
      </c>
      <c r="K77">
        <v>0.83</v>
      </c>
      <c r="N77" s="5" t="str">
        <f t="shared" si="3"/>
        <v>75 0.88</v>
      </c>
      <c r="P77" s="5">
        <f t="shared" si="4"/>
        <v>43.399999999999956</v>
      </c>
      <c r="Q77" s="5">
        <f t="shared" si="5"/>
        <v>43.730000000000004</v>
      </c>
    </row>
    <row r="78" spans="1:17" ht="15" x14ac:dyDescent="0.25">
      <c r="A78" s="5">
        <v>76</v>
      </c>
      <c r="B78" s="5">
        <v>77</v>
      </c>
      <c r="C78">
        <v>76</v>
      </c>
      <c r="D78">
        <v>0.65</v>
      </c>
      <c r="E78">
        <v>0</v>
      </c>
      <c r="F78">
        <v>3.92</v>
      </c>
      <c r="G78">
        <v>3.13</v>
      </c>
      <c r="H78">
        <v>2.33</v>
      </c>
      <c r="I78">
        <v>3.13</v>
      </c>
      <c r="J78">
        <v>0.5</v>
      </c>
      <c r="K78">
        <v>0.8</v>
      </c>
      <c r="N78" s="5" t="str">
        <f t="shared" si="3"/>
        <v>76 0</v>
      </c>
      <c r="P78" s="5">
        <f t="shared" si="4"/>
        <v>44.049999999999955</v>
      </c>
      <c r="Q78" s="5">
        <f t="shared" si="5"/>
        <v>44.53</v>
      </c>
    </row>
    <row r="79" spans="1:17" ht="15" x14ac:dyDescent="0.25">
      <c r="A79" s="5">
        <v>77</v>
      </c>
      <c r="B79" s="5">
        <v>78</v>
      </c>
      <c r="C79">
        <v>77</v>
      </c>
      <c r="D79">
        <v>0.9</v>
      </c>
      <c r="E79">
        <v>0</v>
      </c>
      <c r="F79">
        <v>3.13</v>
      </c>
      <c r="G79">
        <v>2.37</v>
      </c>
      <c r="H79">
        <v>1.61</v>
      </c>
      <c r="I79">
        <v>2.37</v>
      </c>
      <c r="J79">
        <v>0.36</v>
      </c>
      <c r="K79">
        <v>0.76</v>
      </c>
      <c r="N79" s="5" t="str">
        <f t="shared" si="3"/>
        <v>77 0</v>
      </c>
      <c r="P79" s="5">
        <f t="shared" si="4"/>
        <v>44.949999999999953</v>
      </c>
      <c r="Q79" s="5">
        <f t="shared" si="5"/>
        <v>45.29</v>
      </c>
    </row>
    <row r="80" spans="1:17" ht="15" x14ac:dyDescent="0.25">
      <c r="A80" s="5">
        <v>78</v>
      </c>
      <c r="B80" s="5">
        <v>79</v>
      </c>
      <c r="C80">
        <v>78</v>
      </c>
      <c r="D80">
        <v>0.65</v>
      </c>
      <c r="E80">
        <v>0</v>
      </c>
      <c r="F80">
        <v>2.37</v>
      </c>
      <c r="G80">
        <v>1.67</v>
      </c>
      <c r="H80">
        <v>0.96</v>
      </c>
      <c r="I80">
        <v>1.67</v>
      </c>
      <c r="J80">
        <v>0.41</v>
      </c>
      <c r="K80">
        <v>0.7</v>
      </c>
      <c r="N80" s="5" t="str">
        <f t="shared" si="3"/>
        <v>78 0</v>
      </c>
      <c r="P80" s="5">
        <f t="shared" si="4"/>
        <v>45.599999999999952</v>
      </c>
      <c r="Q80" s="5">
        <f t="shared" si="5"/>
        <v>45.99</v>
      </c>
    </row>
    <row r="81" spans="1:17" ht="15" x14ac:dyDescent="0.25">
      <c r="A81" s="5">
        <v>79</v>
      </c>
      <c r="B81" s="5">
        <v>80</v>
      </c>
      <c r="C81">
        <v>79</v>
      </c>
      <c r="D81">
        <v>0.9</v>
      </c>
      <c r="E81">
        <v>0</v>
      </c>
      <c r="F81">
        <v>1.67</v>
      </c>
      <c r="G81">
        <v>1.04</v>
      </c>
      <c r="H81">
        <v>0.42</v>
      </c>
      <c r="I81">
        <v>1.04</v>
      </c>
      <c r="J81">
        <v>0.14000000000000001</v>
      </c>
      <c r="K81">
        <v>0.62</v>
      </c>
      <c r="N81" s="5" t="str">
        <f t="shared" si="3"/>
        <v>79 0</v>
      </c>
      <c r="P81" s="5">
        <f t="shared" si="4"/>
        <v>46.49999999999995</v>
      </c>
      <c r="Q81" s="5">
        <f t="shared" si="5"/>
        <v>46.61</v>
      </c>
    </row>
    <row r="82" spans="1:17" ht="15" x14ac:dyDescent="0.25">
      <c r="A82" s="5">
        <v>80</v>
      </c>
      <c r="B82" s="5">
        <v>81</v>
      </c>
      <c r="C82">
        <v>80</v>
      </c>
      <c r="D82">
        <v>0.65</v>
      </c>
      <c r="E82">
        <v>0</v>
      </c>
      <c r="F82">
        <v>1.04</v>
      </c>
      <c r="G82">
        <v>0.53</v>
      </c>
      <c r="H82">
        <v>0.02</v>
      </c>
      <c r="I82">
        <v>0.53</v>
      </c>
      <c r="J82">
        <v>0</v>
      </c>
      <c r="K82">
        <v>0.51</v>
      </c>
      <c r="N82" s="5" t="str">
        <f t="shared" si="3"/>
        <v>80 0</v>
      </c>
      <c r="P82" s="5">
        <f t="shared" si="4"/>
        <v>47.149999999999949</v>
      </c>
      <c r="Q82" s="5">
        <f t="shared" si="5"/>
        <v>47.12</v>
      </c>
    </row>
    <row r="83" spans="1:17" ht="15" x14ac:dyDescent="0.25">
      <c r="A83" s="5">
        <v>81</v>
      </c>
      <c r="B83" s="5">
        <v>82</v>
      </c>
      <c r="C83">
        <v>81</v>
      </c>
      <c r="D83">
        <v>0</v>
      </c>
      <c r="E83">
        <v>0</v>
      </c>
      <c r="F83">
        <v>0.53</v>
      </c>
      <c r="G83">
        <v>0.18</v>
      </c>
      <c r="H83">
        <v>-0.16</v>
      </c>
      <c r="I83">
        <v>0.18</v>
      </c>
      <c r="J83">
        <v>0.35</v>
      </c>
      <c r="K83">
        <v>0.35</v>
      </c>
      <c r="N83" s="5" t="str">
        <f t="shared" si="3"/>
        <v>81 0</v>
      </c>
      <c r="P83" s="5">
        <f t="shared" si="4"/>
        <v>47.149999999999949</v>
      </c>
      <c r="Q83" s="5">
        <f t="shared" si="5"/>
        <v>47.47</v>
      </c>
    </row>
    <row r="84" spans="1:17" ht="15" x14ac:dyDescent="0.25">
      <c r="A84" s="5">
        <v>82</v>
      </c>
      <c r="B84" s="5">
        <v>83</v>
      </c>
      <c r="C84">
        <v>82</v>
      </c>
      <c r="D84">
        <v>0</v>
      </c>
      <c r="E84">
        <v>0</v>
      </c>
      <c r="F84">
        <v>0.18</v>
      </c>
      <c r="G84">
        <v>0.03</v>
      </c>
      <c r="H84">
        <v>-0.13</v>
      </c>
      <c r="I84">
        <v>0.03</v>
      </c>
      <c r="J84">
        <v>0.5</v>
      </c>
      <c r="K84">
        <v>0.16</v>
      </c>
      <c r="N84" s="5" t="str">
        <f t="shared" si="3"/>
        <v>82 0</v>
      </c>
      <c r="P84" s="5">
        <f t="shared" si="4"/>
        <v>47.149999999999949</v>
      </c>
      <c r="Q84" s="5">
        <f t="shared" si="5"/>
        <v>47.629999999999995</v>
      </c>
    </row>
    <row r="85" spans="1:17" ht="15" x14ac:dyDescent="0.25">
      <c r="A85" s="5">
        <v>83</v>
      </c>
      <c r="B85" s="5">
        <v>84</v>
      </c>
      <c r="C85">
        <v>83</v>
      </c>
      <c r="D85">
        <v>0</v>
      </c>
      <c r="E85">
        <v>0</v>
      </c>
      <c r="F85">
        <v>0.03</v>
      </c>
      <c r="G85">
        <v>0</v>
      </c>
      <c r="H85">
        <v>-0.03</v>
      </c>
      <c r="I85">
        <v>0</v>
      </c>
      <c r="J85">
        <v>0.53</v>
      </c>
      <c r="K85">
        <v>0.03</v>
      </c>
      <c r="N85" s="5" t="str">
        <f t="shared" si="3"/>
        <v>83 0</v>
      </c>
      <c r="P85" s="5">
        <f t="shared" si="4"/>
        <v>47.149999999999949</v>
      </c>
      <c r="Q85" s="5">
        <f t="shared" si="5"/>
        <v>47.66</v>
      </c>
    </row>
    <row r="86" spans="1:17" ht="15" x14ac:dyDescent="0.25">
      <c r="A86" s="5">
        <v>84</v>
      </c>
      <c r="B86" s="5">
        <v>85</v>
      </c>
      <c r="C86">
        <v>84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0.53</v>
      </c>
      <c r="K86">
        <v>0</v>
      </c>
      <c r="N86" s="5" t="str">
        <f t="shared" si="3"/>
        <v>84 0</v>
      </c>
      <c r="P86" s="5">
        <f t="shared" si="4"/>
        <v>47.149999999999949</v>
      </c>
      <c r="Q86" s="5">
        <f t="shared" si="5"/>
        <v>47.66</v>
      </c>
    </row>
    <row r="87" spans="1:17" ht="15" x14ac:dyDescent="0.25">
      <c r="A87" s="5">
        <v>85</v>
      </c>
      <c r="B87" s="5">
        <v>86</v>
      </c>
      <c r="C87">
        <v>85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0.53</v>
      </c>
      <c r="K87">
        <v>0</v>
      </c>
      <c r="N87" s="5" t="str">
        <f t="shared" si="3"/>
        <v>85 0</v>
      </c>
      <c r="P87" s="5">
        <f t="shared" si="4"/>
        <v>47.149999999999949</v>
      </c>
      <c r="Q87" s="5">
        <f t="shared" si="5"/>
        <v>47.66</v>
      </c>
    </row>
    <row r="88" spans="1:17" ht="15" x14ac:dyDescent="0.25">
      <c r="A88" s="5">
        <v>86</v>
      </c>
      <c r="B88" s="5">
        <v>87</v>
      </c>
      <c r="C88">
        <v>86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0.53</v>
      </c>
      <c r="K88">
        <v>0</v>
      </c>
      <c r="N88" s="5" t="str">
        <f t="shared" si="3"/>
        <v>86 0</v>
      </c>
      <c r="P88" s="5">
        <f t="shared" si="4"/>
        <v>47.149999999999949</v>
      </c>
      <c r="Q88" s="5">
        <f t="shared" si="5"/>
        <v>47.66</v>
      </c>
    </row>
    <row r="89" spans="1:17" ht="15" x14ac:dyDescent="0.25">
      <c r="A89" s="5">
        <v>87</v>
      </c>
      <c r="B89" s="5">
        <v>88</v>
      </c>
      <c r="C89">
        <v>87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0.53</v>
      </c>
      <c r="K89">
        <v>0</v>
      </c>
      <c r="N89" s="5" t="str">
        <f t="shared" si="3"/>
        <v>87 0</v>
      </c>
      <c r="P89" s="5">
        <f t="shared" si="4"/>
        <v>47.149999999999949</v>
      </c>
      <c r="Q89" s="5">
        <f t="shared" si="5"/>
        <v>47.66</v>
      </c>
    </row>
    <row r="90" spans="1:17" ht="15" x14ac:dyDescent="0.25">
      <c r="A90" s="5">
        <v>88</v>
      </c>
      <c r="B90" s="5">
        <v>89</v>
      </c>
      <c r="C90">
        <v>88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0.53</v>
      </c>
      <c r="K90">
        <v>0</v>
      </c>
      <c r="N90" s="5" t="str">
        <f t="shared" si="3"/>
        <v>88 0</v>
      </c>
      <c r="P90" s="5">
        <f t="shared" si="4"/>
        <v>47.149999999999949</v>
      </c>
      <c r="Q90" s="5">
        <f t="shared" si="5"/>
        <v>47.66</v>
      </c>
    </row>
    <row r="91" spans="1:17" ht="15" x14ac:dyDescent="0.25">
      <c r="A91" s="5">
        <v>89</v>
      </c>
      <c r="B91" s="5">
        <v>90</v>
      </c>
      <c r="C91">
        <v>89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0.53</v>
      </c>
      <c r="K91">
        <v>0</v>
      </c>
      <c r="N91" s="5" t="str">
        <f t="shared" si="3"/>
        <v>89 0</v>
      </c>
      <c r="P91" s="5">
        <f t="shared" si="4"/>
        <v>47.149999999999949</v>
      </c>
      <c r="Q91" s="5">
        <f t="shared" si="5"/>
        <v>47.66</v>
      </c>
    </row>
    <row r="92" spans="1:17" ht="15" x14ac:dyDescent="0.25">
      <c r="A92" s="5">
        <v>90</v>
      </c>
      <c r="B92" s="5">
        <v>91</v>
      </c>
      <c r="C92">
        <v>90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0.53</v>
      </c>
      <c r="K92">
        <v>0</v>
      </c>
      <c r="N92" s="5" t="str">
        <f t="shared" si="3"/>
        <v>90 0</v>
      </c>
      <c r="P92" s="5">
        <f t="shared" si="4"/>
        <v>47.149999999999949</v>
      </c>
      <c r="Q92" s="5">
        <f t="shared" si="5"/>
        <v>47.66</v>
      </c>
    </row>
    <row r="93" spans="1:17" ht="15" x14ac:dyDescent="0.25">
      <c r="A93" s="5">
        <v>91</v>
      </c>
      <c r="B93" s="5">
        <v>92</v>
      </c>
      <c r="C93">
        <v>91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0.53</v>
      </c>
      <c r="K93">
        <v>0</v>
      </c>
      <c r="N93" s="5" t="str">
        <f t="shared" si="3"/>
        <v>91 0</v>
      </c>
      <c r="P93" s="5">
        <f t="shared" si="4"/>
        <v>47.149999999999949</v>
      </c>
      <c r="Q93" s="5">
        <f t="shared" si="5"/>
        <v>47.66</v>
      </c>
    </row>
    <row r="94" spans="1:17" ht="15" x14ac:dyDescent="0.25">
      <c r="A94" s="5">
        <v>92</v>
      </c>
      <c r="B94" s="5">
        <v>93</v>
      </c>
      <c r="C94">
        <v>92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0.53</v>
      </c>
      <c r="K94">
        <v>0</v>
      </c>
      <c r="N94" s="5" t="str">
        <f t="shared" si="3"/>
        <v>92 0</v>
      </c>
      <c r="P94" s="5">
        <f t="shared" si="4"/>
        <v>47.149999999999949</v>
      </c>
      <c r="Q94" s="5">
        <f t="shared" si="5"/>
        <v>47.66</v>
      </c>
    </row>
    <row r="95" spans="1:17" ht="15" x14ac:dyDescent="0.25">
      <c r="A95" s="5">
        <v>93</v>
      </c>
      <c r="B95" s="5">
        <v>94</v>
      </c>
      <c r="C95">
        <v>93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0.53</v>
      </c>
      <c r="K95">
        <v>0</v>
      </c>
      <c r="N95" s="5" t="str">
        <f t="shared" si="3"/>
        <v>93 0</v>
      </c>
      <c r="P95" s="5">
        <f t="shared" si="4"/>
        <v>47.149999999999949</v>
      </c>
      <c r="Q95" s="5">
        <f t="shared" si="5"/>
        <v>47.66</v>
      </c>
    </row>
    <row r="96" spans="1:17" ht="15" x14ac:dyDescent="0.25">
      <c r="A96" s="5">
        <v>94</v>
      </c>
      <c r="B96" s="5">
        <v>95</v>
      </c>
      <c r="C96">
        <v>94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0.53</v>
      </c>
      <c r="K96">
        <v>0</v>
      </c>
      <c r="N96" s="5" t="str">
        <f t="shared" si="3"/>
        <v>94 0</v>
      </c>
      <c r="P96" s="5">
        <f t="shared" si="4"/>
        <v>47.149999999999949</v>
      </c>
      <c r="Q96" s="5">
        <f t="shared" si="5"/>
        <v>47.66</v>
      </c>
    </row>
    <row r="97" spans="1:17" ht="15" x14ac:dyDescent="0.25">
      <c r="A97" s="5">
        <v>95</v>
      </c>
      <c r="B97" s="5">
        <v>96</v>
      </c>
      <c r="C97">
        <v>95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0.53</v>
      </c>
      <c r="K97">
        <v>0</v>
      </c>
      <c r="N97" s="5" t="str">
        <f t="shared" si="3"/>
        <v>95 0</v>
      </c>
      <c r="P97" s="5">
        <f t="shared" si="4"/>
        <v>47.149999999999949</v>
      </c>
      <c r="Q97" s="5">
        <f t="shared" si="5"/>
        <v>47.66</v>
      </c>
    </row>
    <row r="98" spans="1:17" ht="15" x14ac:dyDescent="0.25">
      <c r="A98" s="5">
        <v>96</v>
      </c>
      <c r="B98" s="5">
        <v>97</v>
      </c>
      <c r="C98">
        <v>96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0.53</v>
      </c>
      <c r="K98">
        <v>0</v>
      </c>
      <c r="N98" s="5" t="str">
        <f t="shared" si="3"/>
        <v>96 0</v>
      </c>
      <c r="P98" s="5">
        <f t="shared" si="4"/>
        <v>47.149999999999949</v>
      </c>
      <c r="Q98" s="5">
        <f t="shared" si="5"/>
        <v>47.66</v>
      </c>
    </row>
    <row r="99" spans="1:17" ht="15" x14ac:dyDescent="0.25">
      <c r="A99" s="5">
        <v>97</v>
      </c>
      <c r="B99" s="5">
        <v>98</v>
      </c>
      <c r="C99">
        <v>97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0.53</v>
      </c>
      <c r="K99">
        <v>0</v>
      </c>
      <c r="N99" s="5" t="str">
        <f t="shared" si="3"/>
        <v>97 0</v>
      </c>
      <c r="P99" s="5">
        <f t="shared" si="4"/>
        <v>47.149999999999949</v>
      </c>
      <c r="Q99" s="5">
        <f t="shared" si="5"/>
        <v>47.66</v>
      </c>
    </row>
    <row r="100" spans="1:17" ht="15" x14ac:dyDescent="0.25">
      <c r="A100" s="5">
        <v>98</v>
      </c>
      <c r="B100" s="5">
        <v>99</v>
      </c>
      <c r="C100">
        <v>98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0.53</v>
      </c>
      <c r="K100">
        <v>0</v>
      </c>
      <c r="N100" s="5" t="str">
        <f t="shared" si="3"/>
        <v>98 0</v>
      </c>
      <c r="P100" s="5">
        <f t="shared" si="4"/>
        <v>47.149999999999949</v>
      </c>
      <c r="Q100" s="5">
        <f t="shared" si="5"/>
        <v>47.66</v>
      </c>
    </row>
    <row r="101" spans="1:17" x14ac:dyDescent="0.3">
      <c r="A101" s="5">
        <v>99</v>
      </c>
      <c r="B101" s="5">
        <v>100</v>
      </c>
      <c r="C101">
        <v>99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0.53</v>
      </c>
      <c r="K101">
        <v>0</v>
      </c>
      <c r="N101" s="5" t="str">
        <f t="shared" si="3"/>
        <v>99 0</v>
      </c>
      <c r="P101" s="5">
        <f t="shared" si="4"/>
        <v>47.149999999999949</v>
      </c>
      <c r="Q101" s="5">
        <f t="shared" si="5"/>
        <v>47.66</v>
      </c>
    </row>
    <row r="102" spans="1:17" x14ac:dyDescent="0.3">
      <c r="A102" s="5">
        <v>100</v>
      </c>
      <c r="B102" s="5">
        <v>101</v>
      </c>
      <c r="C102">
        <v>100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0.53</v>
      </c>
      <c r="K102">
        <v>0</v>
      </c>
      <c r="N102" s="5" t="str">
        <f t="shared" si="3"/>
        <v>100 0</v>
      </c>
      <c r="P102" s="5">
        <f t="shared" si="4"/>
        <v>47.149999999999949</v>
      </c>
      <c r="Q102" s="5">
        <f t="shared" si="5"/>
        <v>47.66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L106"/>
  <sheetViews>
    <sheetView topLeftCell="AF1" zoomScaleNormal="100"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8.5546875" customWidth="1"/>
    <col min="2" max="2" width="13.88671875" bestFit="1" customWidth="1"/>
    <col min="3" max="3" width="14" bestFit="1" customWidth="1"/>
    <col min="4" max="4" width="12.88671875" bestFit="1" customWidth="1"/>
    <col min="5" max="5" width="23.109375" bestFit="1" customWidth="1"/>
    <col min="6" max="6" width="13.5546875" bestFit="1" customWidth="1"/>
    <col min="7" max="7" width="15" bestFit="1" customWidth="1"/>
    <col min="8" max="9" width="9" bestFit="1" customWidth="1"/>
    <col min="10" max="10" width="6.88671875" bestFit="1" customWidth="1"/>
    <col min="11" max="11" width="4.6640625" bestFit="1" customWidth="1"/>
    <col min="12" max="12" width="12" bestFit="1" customWidth="1"/>
    <col min="13" max="13" width="17.44140625" bestFit="1" customWidth="1"/>
    <col min="14" max="14" width="12" bestFit="1" customWidth="1"/>
    <col min="15" max="15" width="17" bestFit="1" customWidth="1"/>
    <col min="16" max="16" width="12" bestFit="1" customWidth="1"/>
    <col min="17" max="17" width="17.109375" bestFit="1" customWidth="1"/>
    <col min="18" max="18" width="9" bestFit="1" customWidth="1"/>
    <col min="19" max="19" width="19.5546875" bestFit="1" customWidth="1"/>
    <col min="20" max="20" width="9" bestFit="1" customWidth="1"/>
    <col min="21" max="21" width="19.109375" bestFit="1" customWidth="1"/>
    <col min="22" max="22" width="9" bestFit="1" customWidth="1"/>
    <col min="23" max="23" width="19.33203125" bestFit="1" customWidth="1"/>
    <col min="24" max="24" width="9" bestFit="1" customWidth="1"/>
    <col min="25" max="25" width="13.6640625" bestFit="1" customWidth="1"/>
    <col min="26" max="26" width="13.33203125" bestFit="1" customWidth="1"/>
    <col min="27" max="27" width="14.33203125" bestFit="1" customWidth="1"/>
    <col min="28" max="28" width="19.6640625" bestFit="1" customWidth="1"/>
    <col min="29" max="29" width="19.33203125" bestFit="1" customWidth="1"/>
    <col min="30" max="30" width="14.33203125" bestFit="1" customWidth="1"/>
    <col min="31" max="31" width="19.6640625" bestFit="1" customWidth="1"/>
    <col min="32" max="32" width="19.33203125" bestFit="1" customWidth="1"/>
    <col min="34" max="38" width="11.44140625" style="7"/>
  </cols>
  <sheetData>
    <row r="1" spans="1:38" s="3" customFormat="1" ht="15" x14ac:dyDescent="0.25">
      <c r="A1" s="3" t="s">
        <v>17</v>
      </c>
      <c r="B1" s="3" t="s">
        <v>1</v>
      </c>
      <c r="C1" s="3" t="s">
        <v>2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46</v>
      </c>
      <c r="Q1" s="3" t="s">
        <v>48</v>
      </c>
      <c r="R1" s="3" t="s">
        <v>30</v>
      </c>
      <c r="S1" s="3" t="s">
        <v>31</v>
      </c>
      <c r="T1" s="3" t="s">
        <v>32</v>
      </c>
      <c r="U1" s="3" t="s">
        <v>33</v>
      </c>
      <c r="V1" s="3" t="s">
        <v>47</v>
      </c>
      <c r="W1" s="3" t="s">
        <v>49</v>
      </c>
      <c r="X1" s="3" t="s">
        <v>23</v>
      </c>
      <c r="Y1" s="3" t="s">
        <v>34</v>
      </c>
      <c r="Z1" s="3" t="s">
        <v>35</v>
      </c>
      <c r="AA1" s="3" t="s">
        <v>36</v>
      </c>
      <c r="AB1" s="3" t="s">
        <v>37</v>
      </c>
      <c r="AC1" s="3" t="s">
        <v>38</v>
      </c>
      <c r="AD1" s="3" t="s">
        <v>39</v>
      </c>
      <c r="AE1" s="3" t="s">
        <v>40</v>
      </c>
      <c r="AF1" s="3" t="s">
        <v>41</v>
      </c>
      <c r="AH1" s="6" t="s">
        <v>12</v>
      </c>
      <c r="AI1" s="6" t="s">
        <v>13</v>
      </c>
      <c r="AJ1" s="6" t="s">
        <v>14</v>
      </c>
      <c r="AK1" s="6" t="s">
        <v>15</v>
      </c>
      <c r="AL1" s="6" t="s">
        <v>16</v>
      </c>
    </row>
    <row r="2" spans="1:38" ht="15" x14ac:dyDescent="0.25">
      <c r="A2">
        <v>0</v>
      </c>
      <c r="B2" t="s">
        <v>42</v>
      </c>
      <c r="C2">
        <v>0</v>
      </c>
      <c r="D2">
        <v>1</v>
      </c>
      <c r="E2">
        <v>2147483647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-1</v>
      </c>
      <c r="Z2">
        <v>-1</v>
      </c>
      <c r="AA2">
        <v>0</v>
      </c>
      <c r="AB2">
        <v>-1</v>
      </c>
      <c r="AC2">
        <v>-1</v>
      </c>
      <c r="AD2">
        <v>0</v>
      </c>
      <c r="AE2">
        <v>-1</v>
      </c>
      <c r="AF2">
        <v>-1</v>
      </c>
    </row>
    <row r="3" spans="1:38" ht="15" x14ac:dyDescent="0.25">
      <c r="A3">
        <v>1</v>
      </c>
      <c r="B3">
        <v>0</v>
      </c>
      <c r="C3">
        <v>1</v>
      </c>
      <c r="D3">
        <v>1</v>
      </c>
      <c r="E3">
        <v>2147483647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-1</v>
      </c>
      <c r="Z3">
        <v>-1</v>
      </c>
      <c r="AA3">
        <v>0</v>
      </c>
      <c r="AB3">
        <v>-1</v>
      </c>
      <c r="AC3">
        <v>-1</v>
      </c>
      <c r="AD3">
        <v>0</v>
      </c>
      <c r="AE3">
        <v>-1</v>
      </c>
      <c r="AF3">
        <v>-1</v>
      </c>
      <c r="AH3" s="7">
        <f>SBC!D2</f>
        <v>0</v>
      </c>
      <c r="AI3" s="7">
        <f>AI2+AH3</f>
        <v>0</v>
      </c>
      <c r="AJ3" s="7">
        <f t="shared" ref="AJ3:AJ66" si="0">AD3</f>
        <v>0</v>
      </c>
      <c r="AK3" s="7">
        <f>AK2+AJ3</f>
        <v>0</v>
      </c>
      <c r="AL3" s="7">
        <f t="shared" ref="AL3:AL66" si="1">AK3-AI3</f>
        <v>0</v>
      </c>
    </row>
    <row r="4" spans="1:38" ht="15" x14ac:dyDescent="0.25">
      <c r="A4">
        <v>2</v>
      </c>
      <c r="B4">
        <v>1</v>
      </c>
      <c r="C4">
        <v>2</v>
      </c>
      <c r="D4">
        <v>1</v>
      </c>
      <c r="E4">
        <v>2147483647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 s="2">
        <v>0</v>
      </c>
      <c r="N4">
        <v>0</v>
      </c>
      <c r="O4">
        <v>0</v>
      </c>
      <c r="P4">
        <v>0</v>
      </c>
      <c r="Q4" s="2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-1</v>
      </c>
      <c r="Z4">
        <v>-1</v>
      </c>
      <c r="AA4">
        <v>0</v>
      </c>
      <c r="AB4">
        <v>-1</v>
      </c>
      <c r="AC4">
        <v>-1</v>
      </c>
      <c r="AD4">
        <v>0</v>
      </c>
      <c r="AE4">
        <v>-1</v>
      </c>
      <c r="AF4">
        <v>-1</v>
      </c>
      <c r="AH4" s="7">
        <f>SBC!D3</f>
        <v>0</v>
      </c>
      <c r="AI4" s="7">
        <f t="shared" ref="AI4:AI67" si="2">AI3+AH4</f>
        <v>0</v>
      </c>
      <c r="AJ4" s="7">
        <f>AD4</f>
        <v>0</v>
      </c>
      <c r="AK4" s="7">
        <f t="shared" ref="AK4:AK67" si="3">AK3+AJ4</f>
        <v>0</v>
      </c>
      <c r="AL4" s="7">
        <f>AK4-AI4</f>
        <v>0</v>
      </c>
    </row>
    <row r="5" spans="1:38" ht="15" x14ac:dyDescent="0.25">
      <c r="A5">
        <v>3</v>
      </c>
      <c r="B5">
        <v>2</v>
      </c>
      <c r="C5">
        <v>3</v>
      </c>
      <c r="D5">
        <v>1</v>
      </c>
      <c r="E5">
        <v>2147483647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2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-1</v>
      </c>
      <c r="Z5">
        <v>-1</v>
      </c>
      <c r="AA5">
        <v>0</v>
      </c>
      <c r="AB5">
        <v>-1</v>
      </c>
      <c r="AC5">
        <v>-1</v>
      </c>
      <c r="AD5">
        <v>0</v>
      </c>
      <c r="AE5">
        <v>-1</v>
      </c>
      <c r="AF5">
        <v>-1</v>
      </c>
      <c r="AH5" s="7">
        <f>SBC!D4</f>
        <v>0</v>
      </c>
      <c r="AI5" s="7">
        <f t="shared" si="2"/>
        <v>0</v>
      </c>
      <c r="AJ5" s="7">
        <f t="shared" si="0"/>
        <v>0</v>
      </c>
      <c r="AK5" s="7">
        <f t="shared" si="3"/>
        <v>0</v>
      </c>
      <c r="AL5" s="7">
        <f t="shared" si="1"/>
        <v>0</v>
      </c>
    </row>
    <row r="6" spans="1:38" ht="15" x14ac:dyDescent="0.25">
      <c r="A6">
        <v>4</v>
      </c>
      <c r="B6">
        <v>3</v>
      </c>
      <c r="C6">
        <v>4</v>
      </c>
      <c r="D6">
        <v>1</v>
      </c>
      <c r="E6">
        <v>2147483647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2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-1</v>
      </c>
      <c r="Z6">
        <v>-1</v>
      </c>
      <c r="AA6">
        <v>0</v>
      </c>
      <c r="AB6">
        <v>-1</v>
      </c>
      <c r="AC6">
        <v>-1</v>
      </c>
      <c r="AD6">
        <v>0</v>
      </c>
      <c r="AE6">
        <v>-1</v>
      </c>
      <c r="AF6">
        <v>-1</v>
      </c>
      <c r="AH6" s="7">
        <f>SBC!D5</f>
        <v>0</v>
      </c>
      <c r="AI6" s="7">
        <f t="shared" si="2"/>
        <v>0</v>
      </c>
      <c r="AJ6" s="7">
        <f t="shared" si="0"/>
        <v>0</v>
      </c>
      <c r="AK6" s="7">
        <f t="shared" si="3"/>
        <v>0</v>
      </c>
      <c r="AL6" s="7">
        <f t="shared" si="1"/>
        <v>0</v>
      </c>
    </row>
    <row r="7" spans="1:38" ht="15" x14ac:dyDescent="0.25">
      <c r="A7">
        <v>5</v>
      </c>
      <c r="B7">
        <v>4</v>
      </c>
      <c r="C7">
        <v>5</v>
      </c>
      <c r="D7">
        <v>1</v>
      </c>
      <c r="E7">
        <v>2147483647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 s="2">
        <v>0</v>
      </c>
      <c r="N7">
        <v>0</v>
      </c>
      <c r="O7" s="2">
        <v>0</v>
      </c>
      <c r="P7">
        <v>0</v>
      </c>
      <c r="Q7" s="2">
        <v>0</v>
      </c>
      <c r="R7">
        <v>0</v>
      </c>
      <c r="S7" s="2">
        <v>0</v>
      </c>
      <c r="T7">
        <v>0</v>
      </c>
      <c r="U7" s="2">
        <v>0</v>
      </c>
      <c r="V7">
        <v>0</v>
      </c>
      <c r="W7" s="2">
        <v>0</v>
      </c>
      <c r="X7">
        <v>0</v>
      </c>
      <c r="Y7">
        <v>-1</v>
      </c>
      <c r="Z7">
        <v>-1</v>
      </c>
      <c r="AA7">
        <v>0</v>
      </c>
      <c r="AB7">
        <v>-1</v>
      </c>
      <c r="AC7">
        <v>-1</v>
      </c>
      <c r="AD7">
        <v>0</v>
      </c>
      <c r="AE7">
        <v>-1</v>
      </c>
      <c r="AF7">
        <v>-1</v>
      </c>
      <c r="AH7" s="7">
        <f>SBC!D6</f>
        <v>0</v>
      </c>
      <c r="AI7" s="7">
        <f t="shared" si="2"/>
        <v>0</v>
      </c>
      <c r="AJ7" s="7">
        <f t="shared" si="0"/>
        <v>0</v>
      </c>
      <c r="AK7" s="7">
        <f t="shared" si="3"/>
        <v>0</v>
      </c>
      <c r="AL7" s="7">
        <f t="shared" si="1"/>
        <v>0</v>
      </c>
    </row>
    <row r="8" spans="1:38" ht="15" x14ac:dyDescent="0.25">
      <c r="A8">
        <v>6</v>
      </c>
      <c r="B8">
        <v>5</v>
      </c>
      <c r="C8">
        <v>6</v>
      </c>
      <c r="D8">
        <v>1</v>
      </c>
      <c r="E8">
        <v>2147483647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 s="2">
        <v>0</v>
      </c>
      <c r="N8">
        <v>0</v>
      </c>
      <c r="O8">
        <v>0</v>
      </c>
      <c r="P8">
        <v>0</v>
      </c>
      <c r="Q8" s="2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-1</v>
      </c>
      <c r="Z8">
        <v>-1</v>
      </c>
      <c r="AA8">
        <v>0</v>
      </c>
      <c r="AB8">
        <v>-1</v>
      </c>
      <c r="AC8">
        <v>-1</v>
      </c>
      <c r="AD8">
        <v>0</v>
      </c>
      <c r="AE8">
        <v>-1</v>
      </c>
      <c r="AF8">
        <v>-1</v>
      </c>
      <c r="AH8" s="7">
        <f>SBC!D7</f>
        <v>0</v>
      </c>
      <c r="AI8" s="7">
        <f t="shared" si="2"/>
        <v>0</v>
      </c>
      <c r="AJ8" s="7">
        <f t="shared" si="0"/>
        <v>0</v>
      </c>
      <c r="AK8" s="7">
        <f t="shared" si="3"/>
        <v>0</v>
      </c>
      <c r="AL8" s="7">
        <f t="shared" si="1"/>
        <v>0</v>
      </c>
    </row>
    <row r="9" spans="1:38" ht="15" x14ac:dyDescent="0.25">
      <c r="A9">
        <v>7</v>
      </c>
      <c r="B9">
        <v>6</v>
      </c>
      <c r="C9">
        <v>7</v>
      </c>
      <c r="D9">
        <v>1</v>
      </c>
      <c r="E9">
        <v>2147483647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2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-1</v>
      </c>
      <c r="Z9">
        <v>-1</v>
      </c>
      <c r="AA9">
        <v>0</v>
      </c>
      <c r="AB9">
        <v>-1</v>
      </c>
      <c r="AC9">
        <v>-1</v>
      </c>
      <c r="AD9">
        <v>0</v>
      </c>
      <c r="AE9">
        <v>-1</v>
      </c>
      <c r="AF9">
        <v>-1</v>
      </c>
      <c r="AH9" s="7">
        <f>SBC!D8</f>
        <v>0</v>
      </c>
      <c r="AI9" s="7">
        <f t="shared" si="2"/>
        <v>0</v>
      </c>
      <c r="AJ9" s="7">
        <f t="shared" si="0"/>
        <v>0</v>
      </c>
      <c r="AK9" s="7">
        <f t="shared" si="3"/>
        <v>0</v>
      </c>
      <c r="AL9" s="7">
        <f t="shared" si="1"/>
        <v>0</v>
      </c>
    </row>
    <row r="10" spans="1:38" ht="15" x14ac:dyDescent="0.25">
      <c r="A10">
        <v>8</v>
      </c>
      <c r="B10">
        <v>7</v>
      </c>
      <c r="C10">
        <v>8</v>
      </c>
      <c r="D10">
        <v>1</v>
      </c>
      <c r="E10">
        <v>2147483647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2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-1</v>
      </c>
      <c r="Z10">
        <v>-1</v>
      </c>
      <c r="AA10">
        <v>0</v>
      </c>
      <c r="AB10">
        <v>-1</v>
      </c>
      <c r="AC10">
        <v>-1</v>
      </c>
      <c r="AD10">
        <v>0</v>
      </c>
      <c r="AE10">
        <v>-1</v>
      </c>
      <c r="AF10">
        <v>-1</v>
      </c>
      <c r="AH10" s="7">
        <f>SBC!D9</f>
        <v>0</v>
      </c>
      <c r="AI10" s="7">
        <f t="shared" si="2"/>
        <v>0</v>
      </c>
      <c r="AJ10" s="7">
        <f t="shared" si="0"/>
        <v>0</v>
      </c>
      <c r="AK10" s="7">
        <f t="shared" si="3"/>
        <v>0</v>
      </c>
      <c r="AL10" s="7">
        <f t="shared" si="1"/>
        <v>0</v>
      </c>
    </row>
    <row r="11" spans="1:38" ht="15" x14ac:dyDescent="0.25">
      <c r="A11">
        <v>9</v>
      </c>
      <c r="B11">
        <v>8</v>
      </c>
      <c r="C11">
        <v>9</v>
      </c>
      <c r="D11">
        <v>1</v>
      </c>
      <c r="E11">
        <v>2147483647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2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-1</v>
      </c>
      <c r="Z11">
        <v>-1</v>
      </c>
      <c r="AA11">
        <v>0</v>
      </c>
      <c r="AB11">
        <v>-1</v>
      </c>
      <c r="AC11">
        <v>-1</v>
      </c>
      <c r="AD11">
        <v>0</v>
      </c>
      <c r="AE11">
        <v>-1</v>
      </c>
      <c r="AF11">
        <v>-1</v>
      </c>
      <c r="AH11" s="7">
        <f>SBC!D10</f>
        <v>0</v>
      </c>
      <c r="AI11" s="7">
        <f t="shared" si="2"/>
        <v>0</v>
      </c>
      <c r="AJ11" s="7">
        <f t="shared" si="0"/>
        <v>0</v>
      </c>
      <c r="AK11" s="7">
        <f t="shared" si="3"/>
        <v>0</v>
      </c>
      <c r="AL11" s="7">
        <f t="shared" si="1"/>
        <v>0</v>
      </c>
    </row>
    <row r="12" spans="1:38" ht="15" x14ac:dyDescent="0.25">
      <c r="A12">
        <v>10</v>
      </c>
      <c r="B12">
        <v>9</v>
      </c>
      <c r="C12">
        <v>10</v>
      </c>
      <c r="D12">
        <v>1</v>
      </c>
      <c r="E12">
        <v>2147483647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 s="2">
        <v>0</v>
      </c>
      <c r="M12" s="2">
        <v>0</v>
      </c>
      <c r="N12">
        <v>0</v>
      </c>
      <c r="O12" s="2">
        <v>0</v>
      </c>
      <c r="P12">
        <v>0</v>
      </c>
      <c r="Q12" s="2">
        <v>0</v>
      </c>
      <c r="R12" s="2">
        <v>0</v>
      </c>
      <c r="S12" s="2">
        <v>0</v>
      </c>
      <c r="T12">
        <v>0</v>
      </c>
      <c r="U12" s="2">
        <v>0</v>
      </c>
      <c r="V12">
        <v>0</v>
      </c>
      <c r="W12" s="2">
        <v>0</v>
      </c>
      <c r="X12">
        <v>0</v>
      </c>
      <c r="Y12">
        <v>-1</v>
      </c>
      <c r="Z12">
        <v>-1</v>
      </c>
      <c r="AA12">
        <v>0</v>
      </c>
      <c r="AB12" s="2">
        <v>-1</v>
      </c>
      <c r="AC12">
        <v>-1</v>
      </c>
      <c r="AD12">
        <v>0</v>
      </c>
      <c r="AE12" s="2">
        <v>-1</v>
      </c>
      <c r="AF12">
        <v>-1</v>
      </c>
      <c r="AH12" s="7">
        <f>SBC!D11</f>
        <v>0</v>
      </c>
      <c r="AI12" s="7">
        <f t="shared" si="2"/>
        <v>0</v>
      </c>
      <c r="AJ12" s="7">
        <f t="shared" si="0"/>
        <v>0</v>
      </c>
      <c r="AK12" s="7">
        <f t="shared" si="3"/>
        <v>0</v>
      </c>
      <c r="AL12" s="7">
        <f t="shared" si="1"/>
        <v>0</v>
      </c>
    </row>
    <row r="13" spans="1:38" ht="15" x14ac:dyDescent="0.25">
      <c r="A13">
        <v>11</v>
      </c>
      <c r="B13">
        <v>10</v>
      </c>
      <c r="C13">
        <v>11</v>
      </c>
      <c r="D13">
        <v>1</v>
      </c>
      <c r="E13">
        <v>2147483647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 s="2">
        <v>0</v>
      </c>
      <c r="M13" s="2">
        <v>0</v>
      </c>
      <c r="N13">
        <v>0</v>
      </c>
      <c r="O13" s="2">
        <v>0</v>
      </c>
      <c r="P13">
        <v>0</v>
      </c>
      <c r="Q13" s="2">
        <v>0</v>
      </c>
      <c r="R13">
        <v>0</v>
      </c>
      <c r="S13" s="2">
        <v>0</v>
      </c>
      <c r="T13">
        <v>0</v>
      </c>
      <c r="U13" s="2">
        <v>0</v>
      </c>
      <c r="V13">
        <v>0</v>
      </c>
      <c r="W13" s="2">
        <v>0</v>
      </c>
      <c r="X13">
        <v>0</v>
      </c>
      <c r="Y13">
        <v>-1</v>
      </c>
      <c r="Z13">
        <v>-1</v>
      </c>
      <c r="AA13">
        <v>0</v>
      </c>
      <c r="AB13">
        <v>-1</v>
      </c>
      <c r="AC13">
        <v>-1</v>
      </c>
      <c r="AD13">
        <v>0</v>
      </c>
      <c r="AE13">
        <v>-1</v>
      </c>
      <c r="AF13">
        <v>-1</v>
      </c>
      <c r="AH13" s="7">
        <f>SBC!D12</f>
        <v>0</v>
      </c>
      <c r="AI13" s="7">
        <f t="shared" si="2"/>
        <v>0</v>
      </c>
      <c r="AJ13" s="7">
        <f t="shared" si="0"/>
        <v>0</v>
      </c>
      <c r="AK13" s="7">
        <f t="shared" si="3"/>
        <v>0</v>
      </c>
      <c r="AL13" s="7">
        <f t="shared" si="1"/>
        <v>0</v>
      </c>
    </row>
    <row r="14" spans="1:38" ht="15" x14ac:dyDescent="0.25">
      <c r="A14">
        <v>12</v>
      </c>
      <c r="B14">
        <v>11</v>
      </c>
      <c r="C14">
        <v>12</v>
      </c>
      <c r="D14">
        <v>1</v>
      </c>
      <c r="E14">
        <v>2147483647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 s="2">
        <v>0</v>
      </c>
      <c r="N14">
        <v>0</v>
      </c>
      <c r="O14" s="2">
        <v>0</v>
      </c>
      <c r="P14">
        <v>0</v>
      </c>
      <c r="Q14" s="2">
        <v>0</v>
      </c>
      <c r="R14">
        <v>0</v>
      </c>
      <c r="S14" s="2">
        <v>0</v>
      </c>
      <c r="T14">
        <v>0</v>
      </c>
      <c r="U14" s="2">
        <v>0</v>
      </c>
      <c r="V14">
        <v>0</v>
      </c>
      <c r="W14" s="2">
        <v>0</v>
      </c>
      <c r="X14">
        <v>0</v>
      </c>
      <c r="Y14">
        <v>-1</v>
      </c>
      <c r="Z14">
        <v>-1</v>
      </c>
      <c r="AA14">
        <v>0</v>
      </c>
      <c r="AB14">
        <v>-1</v>
      </c>
      <c r="AC14">
        <v>-1</v>
      </c>
      <c r="AD14">
        <v>0</v>
      </c>
      <c r="AE14">
        <v>-1</v>
      </c>
      <c r="AF14">
        <v>-1</v>
      </c>
      <c r="AH14" s="7">
        <f>SBC!D13</f>
        <v>0</v>
      </c>
      <c r="AI14" s="7">
        <f t="shared" si="2"/>
        <v>0</v>
      </c>
      <c r="AJ14" s="7">
        <f t="shared" si="0"/>
        <v>0</v>
      </c>
      <c r="AK14" s="7">
        <f t="shared" si="3"/>
        <v>0</v>
      </c>
      <c r="AL14" s="7">
        <f t="shared" si="1"/>
        <v>0</v>
      </c>
    </row>
    <row r="15" spans="1:38" ht="15" x14ac:dyDescent="0.25">
      <c r="A15">
        <v>13</v>
      </c>
      <c r="B15">
        <v>12</v>
      </c>
      <c r="C15">
        <v>13</v>
      </c>
      <c r="D15">
        <v>1</v>
      </c>
      <c r="E15">
        <v>2147483647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 s="2">
        <v>0</v>
      </c>
      <c r="N15">
        <v>0</v>
      </c>
      <c r="O15" s="2">
        <v>0</v>
      </c>
      <c r="P15">
        <v>0</v>
      </c>
      <c r="Q15" s="2">
        <v>0</v>
      </c>
      <c r="R15">
        <v>0</v>
      </c>
      <c r="S15" s="2">
        <v>0</v>
      </c>
      <c r="T15">
        <v>0</v>
      </c>
      <c r="U15" s="2">
        <v>0</v>
      </c>
      <c r="V15">
        <v>0</v>
      </c>
      <c r="W15" s="2">
        <v>0</v>
      </c>
      <c r="X15">
        <v>0</v>
      </c>
      <c r="Y15">
        <v>-1</v>
      </c>
      <c r="Z15">
        <v>-1</v>
      </c>
      <c r="AA15">
        <v>0</v>
      </c>
      <c r="AB15">
        <v>-1</v>
      </c>
      <c r="AC15">
        <v>-1</v>
      </c>
      <c r="AD15">
        <v>0</v>
      </c>
      <c r="AE15">
        <v>-1</v>
      </c>
      <c r="AF15">
        <v>-1</v>
      </c>
      <c r="AH15" s="7">
        <f>SBC!D14</f>
        <v>0</v>
      </c>
      <c r="AI15" s="7">
        <f t="shared" si="2"/>
        <v>0</v>
      </c>
      <c r="AJ15" s="7">
        <f t="shared" si="0"/>
        <v>0</v>
      </c>
      <c r="AK15" s="7">
        <f t="shared" si="3"/>
        <v>0</v>
      </c>
      <c r="AL15" s="7">
        <f t="shared" si="1"/>
        <v>0</v>
      </c>
    </row>
    <row r="16" spans="1:38" ht="15" x14ac:dyDescent="0.25">
      <c r="A16">
        <v>14</v>
      </c>
      <c r="B16">
        <v>13</v>
      </c>
      <c r="C16">
        <v>14</v>
      </c>
      <c r="D16">
        <v>1</v>
      </c>
      <c r="E16">
        <v>2147483647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 s="2">
        <v>0</v>
      </c>
      <c r="N16">
        <v>0</v>
      </c>
      <c r="O16" s="2">
        <v>0</v>
      </c>
      <c r="P16">
        <v>0</v>
      </c>
      <c r="Q16" s="2">
        <v>0</v>
      </c>
      <c r="R16">
        <v>0</v>
      </c>
      <c r="S16" s="2">
        <v>0</v>
      </c>
      <c r="T16">
        <v>0</v>
      </c>
      <c r="U16" s="2">
        <v>0</v>
      </c>
      <c r="V16">
        <v>0</v>
      </c>
      <c r="W16" s="2">
        <v>0</v>
      </c>
      <c r="X16">
        <v>0</v>
      </c>
      <c r="Y16">
        <v>-1</v>
      </c>
      <c r="Z16">
        <v>-1</v>
      </c>
      <c r="AA16">
        <v>0</v>
      </c>
      <c r="AB16">
        <v>-1</v>
      </c>
      <c r="AC16">
        <v>-1</v>
      </c>
      <c r="AD16">
        <v>0</v>
      </c>
      <c r="AE16">
        <v>-1</v>
      </c>
      <c r="AF16">
        <v>-1</v>
      </c>
      <c r="AH16" s="7">
        <f>SBC!D15</f>
        <v>0</v>
      </c>
      <c r="AI16" s="7">
        <f t="shared" si="2"/>
        <v>0</v>
      </c>
      <c r="AJ16" s="7">
        <f t="shared" si="0"/>
        <v>0</v>
      </c>
      <c r="AK16" s="7">
        <f t="shared" si="3"/>
        <v>0</v>
      </c>
      <c r="AL16" s="7">
        <f t="shared" si="1"/>
        <v>0</v>
      </c>
    </row>
    <row r="17" spans="1:38" ht="15" x14ac:dyDescent="0.25">
      <c r="A17">
        <v>15</v>
      </c>
      <c r="B17">
        <v>14</v>
      </c>
      <c r="C17">
        <v>15</v>
      </c>
      <c r="D17">
        <v>1</v>
      </c>
      <c r="E17">
        <v>2147483647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 s="2">
        <v>0</v>
      </c>
      <c r="N17">
        <v>0</v>
      </c>
      <c r="O17" s="2">
        <v>0</v>
      </c>
      <c r="P17">
        <v>0</v>
      </c>
      <c r="Q17" s="2">
        <v>0</v>
      </c>
      <c r="R17">
        <v>0</v>
      </c>
      <c r="S17" s="2">
        <v>0</v>
      </c>
      <c r="T17">
        <v>0</v>
      </c>
      <c r="U17">
        <v>0</v>
      </c>
      <c r="V17">
        <v>0</v>
      </c>
      <c r="W17" s="2">
        <v>0</v>
      </c>
      <c r="X17">
        <v>0</v>
      </c>
      <c r="Y17">
        <v>-1</v>
      </c>
      <c r="Z17">
        <v>-1</v>
      </c>
      <c r="AA17">
        <v>0</v>
      </c>
      <c r="AB17">
        <v>-1</v>
      </c>
      <c r="AC17">
        <v>-1</v>
      </c>
      <c r="AD17">
        <v>0</v>
      </c>
      <c r="AE17">
        <v>-1</v>
      </c>
      <c r="AF17">
        <v>-1</v>
      </c>
      <c r="AH17" s="7">
        <f>SBC!D16</f>
        <v>0</v>
      </c>
      <c r="AI17" s="7">
        <f t="shared" si="2"/>
        <v>0</v>
      </c>
      <c r="AJ17" s="7">
        <f t="shared" si="0"/>
        <v>0</v>
      </c>
      <c r="AK17" s="7">
        <f t="shared" si="3"/>
        <v>0</v>
      </c>
      <c r="AL17" s="7">
        <f t="shared" si="1"/>
        <v>0</v>
      </c>
    </row>
    <row r="18" spans="1:38" ht="15" x14ac:dyDescent="0.25">
      <c r="A18">
        <v>16</v>
      </c>
      <c r="B18">
        <v>15</v>
      </c>
      <c r="C18">
        <v>16</v>
      </c>
      <c r="D18">
        <v>1</v>
      </c>
      <c r="E18">
        <v>2147483647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 s="2">
        <v>0</v>
      </c>
      <c r="N18">
        <v>0</v>
      </c>
      <c r="O18" s="2">
        <v>0</v>
      </c>
      <c r="P18">
        <v>0</v>
      </c>
      <c r="Q18" s="2">
        <v>0</v>
      </c>
      <c r="R18">
        <v>0</v>
      </c>
      <c r="S18" s="2">
        <v>0</v>
      </c>
      <c r="T18">
        <v>0</v>
      </c>
      <c r="U18">
        <v>0</v>
      </c>
      <c r="V18">
        <v>0</v>
      </c>
      <c r="W18" s="2">
        <v>0</v>
      </c>
      <c r="X18">
        <v>0</v>
      </c>
      <c r="Y18">
        <v>-1</v>
      </c>
      <c r="Z18">
        <v>-1</v>
      </c>
      <c r="AA18">
        <v>0</v>
      </c>
      <c r="AB18">
        <v>-1</v>
      </c>
      <c r="AC18">
        <v>-1</v>
      </c>
      <c r="AD18">
        <v>0</v>
      </c>
      <c r="AE18">
        <v>-1</v>
      </c>
      <c r="AF18">
        <v>-1</v>
      </c>
      <c r="AH18" s="7">
        <f>SBC!D17</f>
        <v>0</v>
      </c>
      <c r="AI18" s="7">
        <f t="shared" si="2"/>
        <v>0</v>
      </c>
      <c r="AJ18" s="7">
        <f t="shared" si="0"/>
        <v>0</v>
      </c>
      <c r="AK18" s="7">
        <f t="shared" si="3"/>
        <v>0</v>
      </c>
      <c r="AL18" s="7">
        <f t="shared" si="1"/>
        <v>0</v>
      </c>
    </row>
    <row r="19" spans="1:38" ht="15" x14ac:dyDescent="0.25">
      <c r="A19">
        <v>17</v>
      </c>
      <c r="B19">
        <v>16</v>
      </c>
      <c r="C19">
        <v>17</v>
      </c>
      <c r="D19">
        <v>1</v>
      </c>
      <c r="E19">
        <v>2147483647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 s="2">
        <v>0</v>
      </c>
      <c r="N19">
        <v>0</v>
      </c>
      <c r="O19">
        <v>0</v>
      </c>
      <c r="P19">
        <v>0</v>
      </c>
      <c r="Q19" s="2">
        <v>0</v>
      </c>
      <c r="R19">
        <v>0</v>
      </c>
      <c r="S19" s="2">
        <v>0</v>
      </c>
      <c r="T19">
        <v>0</v>
      </c>
      <c r="U19">
        <v>0</v>
      </c>
      <c r="V19">
        <v>0</v>
      </c>
      <c r="W19" s="2">
        <v>0</v>
      </c>
      <c r="X19">
        <v>0</v>
      </c>
      <c r="Y19">
        <v>-1</v>
      </c>
      <c r="Z19">
        <v>-1</v>
      </c>
      <c r="AA19">
        <v>0</v>
      </c>
      <c r="AB19">
        <v>-1</v>
      </c>
      <c r="AC19">
        <v>-1</v>
      </c>
      <c r="AD19">
        <v>0</v>
      </c>
      <c r="AE19">
        <v>-1</v>
      </c>
      <c r="AF19">
        <v>-1</v>
      </c>
      <c r="AH19" s="7">
        <f>SBC!D18</f>
        <v>0</v>
      </c>
      <c r="AI19" s="7">
        <f t="shared" si="2"/>
        <v>0</v>
      </c>
      <c r="AJ19" s="7">
        <f t="shared" si="0"/>
        <v>0</v>
      </c>
      <c r="AK19" s="7">
        <f t="shared" si="3"/>
        <v>0</v>
      </c>
      <c r="AL19" s="7">
        <f t="shared" si="1"/>
        <v>0</v>
      </c>
    </row>
    <row r="20" spans="1:38" ht="15" x14ac:dyDescent="0.25">
      <c r="A20">
        <v>18</v>
      </c>
      <c r="B20">
        <v>17</v>
      </c>
      <c r="C20">
        <v>18</v>
      </c>
      <c r="D20">
        <v>1</v>
      </c>
      <c r="E20">
        <v>2147483647</v>
      </c>
      <c r="F20">
        <v>0.14000000000000001</v>
      </c>
      <c r="G20">
        <v>1</v>
      </c>
      <c r="H20">
        <v>0.140019</v>
      </c>
      <c r="I20">
        <v>0.140019</v>
      </c>
      <c r="J20">
        <v>0</v>
      </c>
      <c r="K20">
        <v>0</v>
      </c>
      <c r="L20">
        <v>1.9182581495158499E-3</v>
      </c>
      <c r="M20" s="2">
        <v>7.82246785421442E-5</v>
      </c>
      <c r="N20">
        <v>5.1914523555424502E-2</v>
      </c>
      <c r="O20" s="2">
        <v>4.44668906649932E-4</v>
      </c>
      <c r="P20">
        <v>4.9996265405908701E-2</v>
      </c>
      <c r="Q20" s="2">
        <v>4.1781617304046802E-4</v>
      </c>
      <c r="R20">
        <v>4.999E-3</v>
      </c>
      <c r="S20" s="2">
        <v>1.8840584693101899E-4</v>
      </c>
      <c r="T20">
        <v>9.0009000000000006E-2</v>
      </c>
      <c r="U20" s="2">
        <v>7.82481574199752E-4</v>
      </c>
      <c r="V20">
        <v>8.5010000000000002E-2</v>
      </c>
      <c r="W20" s="2">
        <v>7.1838997217578502E-4</v>
      </c>
      <c r="X20">
        <v>0.140019</v>
      </c>
      <c r="Y20">
        <v>5.1345505593795499E-2</v>
      </c>
      <c r="Z20">
        <v>1.0517271366983101</v>
      </c>
      <c r="AA20">
        <v>0.13502</v>
      </c>
      <c r="AB20">
        <v>3.1473639049885501E-3</v>
      </c>
      <c r="AC20">
        <v>1.0030357432607999</v>
      </c>
      <c r="AD20">
        <v>5.0009999999999999E-2</v>
      </c>
      <c r="AE20">
        <v>1.4624679348074199E-3</v>
      </c>
      <c r="AF20">
        <v>0.28306253332728099</v>
      </c>
      <c r="AH20" s="7">
        <f>SBC!D19</f>
        <v>0</v>
      </c>
      <c r="AI20" s="7">
        <f t="shared" si="2"/>
        <v>0</v>
      </c>
      <c r="AJ20" s="7">
        <f t="shared" si="0"/>
        <v>5.0009999999999999E-2</v>
      </c>
      <c r="AK20" s="7">
        <f t="shared" si="3"/>
        <v>5.0009999999999999E-2</v>
      </c>
      <c r="AL20" s="7">
        <f t="shared" si="1"/>
        <v>5.0009999999999999E-2</v>
      </c>
    </row>
    <row r="21" spans="1:38" ht="15" x14ac:dyDescent="0.25">
      <c r="A21">
        <v>19</v>
      </c>
      <c r="B21">
        <v>18</v>
      </c>
      <c r="C21">
        <v>19</v>
      </c>
      <c r="D21">
        <v>1</v>
      </c>
      <c r="E21">
        <v>2147483647</v>
      </c>
      <c r="F21">
        <v>0.57999999999999996</v>
      </c>
      <c r="G21">
        <v>1</v>
      </c>
      <c r="H21">
        <v>0.57934300000000005</v>
      </c>
      <c r="I21">
        <v>0.57934300000000005</v>
      </c>
      <c r="J21">
        <v>0</v>
      </c>
      <c r="K21">
        <v>0</v>
      </c>
      <c r="L21">
        <v>4.76423550247062E-2</v>
      </c>
      <c r="M21" s="2">
        <v>4.7960791150641999E-4</v>
      </c>
      <c r="N21">
        <v>0.28261251326487602</v>
      </c>
      <c r="O21">
        <v>1.14569696683044E-3</v>
      </c>
      <c r="P21">
        <v>0.234970158240173</v>
      </c>
      <c r="Q21" s="2">
        <v>8.3799273214053404E-4</v>
      </c>
      <c r="R21">
        <v>9.9734000000000003E-2</v>
      </c>
      <c r="S21" s="2">
        <v>9.3533866521246299E-4</v>
      </c>
      <c r="T21">
        <v>0.43389499999999998</v>
      </c>
      <c r="U21">
        <v>1.7978626652395001E-3</v>
      </c>
      <c r="V21">
        <v>0.33416099999999999</v>
      </c>
      <c r="W21" s="2">
        <v>1.2150092246676601E-3</v>
      </c>
      <c r="X21">
        <v>0.57934300000000005</v>
      </c>
      <c r="Y21">
        <v>0.282455392345689</v>
      </c>
      <c r="Z21">
        <v>1.28414170805106</v>
      </c>
      <c r="AA21">
        <v>0.48460799999999998</v>
      </c>
      <c r="AB21">
        <v>2.4930425920588702E-2</v>
      </c>
      <c r="AC21">
        <v>1.0262838165088399</v>
      </c>
      <c r="AD21">
        <v>0.235457</v>
      </c>
      <c r="AE21">
        <v>1.287476678161E-2</v>
      </c>
      <c r="AF21">
        <v>0.42530123262872199</v>
      </c>
      <c r="AH21" s="7">
        <f>SBC!D20</f>
        <v>0</v>
      </c>
      <c r="AI21" s="7">
        <f t="shared" si="2"/>
        <v>0</v>
      </c>
      <c r="AJ21" s="7">
        <f t="shared" si="0"/>
        <v>0.235457</v>
      </c>
      <c r="AK21" s="7">
        <f t="shared" si="3"/>
        <v>0.28546700000000003</v>
      </c>
      <c r="AL21" s="7">
        <f t="shared" si="1"/>
        <v>0.28546700000000003</v>
      </c>
    </row>
    <row r="22" spans="1:38" ht="15" x14ac:dyDescent="0.25">
      <c r="A22">
        <v>20</v>
      </c>
      <c r="B22">
        <v>19</v>
      </c>
      <c r="C22">
        <v>20</v>
      </c>
      <c r="D22">
        <v>1</v>
      </c>
      <c r="E22">
        <v>2147483647</v>
      </c>
      <c r="F22">
        <v>0.73</v>
      </c>
      <c r="G22">
        <v>1</v>
      </c>
      <c r="H22">
        <v>0.73049799999999998</v>
      </c>
      <c r="I22">
        <v>0.73049799999999998</v>
      </c>
      <c r="J22">
        <v>0</v>
      </c>
      <c r="K22">
        <v>0</v>
      </c>
      <c r="L22">
        <v>0.184536046735193</v>
      </c>
      <c r="M22" s="2">
        <v>1.1646706371639399E-3</v>
      </c>
      <c r="N22">
        <v>0.60255749360038102</v>
      </c>
      <c r="O22">
        <v>1.9276590909808201E-3</v>
      </c>
      <c r="P22">
        <v>0.418021446865178</v>
      </c>
      <c r="Q22" s="2">
        <v>1.0363274980731601E-3</v>
      </c>
      <c r="R22">
        <v>0.26828600000000002</v>
      </c>
      <c r="S22" s="2">
        <v>1.65552022524916E-3</v>
      </c>
      <c r="T22">
        <v>0.74701600000000001</v>
      </c>
      <c r="U22">
        <v>2.5004485286848101E-3</v>
      </c>
      <c r="V22">
        <v>0.47872999999999999</v>
      </c>
      <c r="W22" s="2">
        <v>1.2867487856776201E-3</v>
      </c>
      <c r="X22">
        <v>0.73049799999999998</v>
      </c>
      <c r="Y22">
        <v>0.60385248583276696</v>
      </c>
      <c r="Z22">
        <v>1.6030463001564099</v>
      </c>
      <c r="AA22">
        <v>0.56194599999999995</v>
      </c>
      <c r="AB22">
        <v>0.123446827310061</v>
      </c>
      <c r="AC22">
        <v>1.1225130558838601</v>
      </c>
      <c r="AD22">
        <v>0.417377</v>
      </c>
      <c r="AE22">
        <v>6.4961543947681E-2</v>
      </c>
      <c r="AF22">
        <v>0.67945478057181996</v>
      </c>
      <c r="AH22" s="7">
        <f>SBC!D21</f>
        <v>0</v>
      </c>
      <c r="AI22" s="7">
        <f t="shared" si="2"/>
        <v>0</v>
      </c>
      <c r="AJ22" s="7">
        <f t="shared" si="0"/>
        <v>0.417377</v>
      </c>
      <c r="AK22" s="7">
        <f t="shared" si="3"/>
        <v>0.70284400000000002</v>
      </c>
      <c r="AL22" s="7">
        <f t="shared" si="1"/>
        <v>0.70284400000000002</v>
      </c>
    </row>
    <row r="23" spans="1:38" ht="15" x14ac:dyDescent="0.25">
      <c r="A23">
        <v>21</v>
      </c>
      <c r="B23">
        <v>20</v>
      </c>
      <c r="C23">
        <v>21</v>
      </c>
      <c r="D23">
        <v>1</v>
      </c>
      <c r="E23">
        <v>2147483647</v>
      </c>
      <c r="F23">
        <v>0.78</v>
      </c>
      <c r="G23">
        <v>1</v>
      </c>
      <c r="H23">
        <v>0.78044599999999997</v>
      </c>
      <c r="I23">
        <v>0.78044599999999997</v>
      </c>
      <c r="J23">
        <v>0</v>
      </c>
      <c r="K23">
        <v>0</v>
      </c>
      <c r="L23">
        <v>0.35850451412888701</v>
      </c>
      <c r="M23">
        <v>1.8140503112680599E-3</v>
      </c>
      <c r="N23">
        <v>0.88216570811537598</v>
      </c>
      <c r="O23">
        <v>2.5614793319565302E-3</v>
      </c>
      <c r="P23">
        <v>0.52366119398646405</v>
      </c>
      <c r="Q23" s="2">
        <v>1.0717919340475399E-3</v>
      </c>
      <c r="R23">
        <v>0.44511499999999998</v>
      </c>
      <c r="S23">
        <v>2.2595905760609699E-3</v>
      </c>
      <c r="T23">
        <v>1.003673</v>
      </c>
      <c r="U23">
        <v>3.0576357949702601E-3</v>
      </c>
      <c r="V23">
        <v>0.558558</v>
      </c>
      <c r="W23" s="2">
        <v>1.2790515347843999E-3</v>
      </c>
      <c r="X23">
        <v>0.78044599999999997</v>
      </c>
      <c r="Y23">
        <v>0.88184318048117505</v>
      </c>
      <c r="Z23">
        <v>1.8824817691812401</v>
      </c>
      <c r="AA23">
        <v>0.60361699999999996</v>
      </c>
      <c r="AB23">
        <v>0.28109160235561298</v>
      </c>
      <c r="AC23">
        <v>1.2820578747028999</v>
      </c>
      <c r="AD23">
        <v>0.52378899999999995</v>
      </c>
      <c r="AE23">
        <v>0.16992274191647</v>
      </c>
      <c r="AF23">
        <v>0.93522591947131894</v>
      </c>
      <c r="AH23" s="7">
        <f>SBC!D22</f>
        <v>0.65</v>
      </c>
      <c r="AI23" s="7">
        <f t="shared" si="2"/>
        <v>0.65</v>
      </c>
      <c r="AJ23" s="7">
        <f t="shared" si="0"/>
        <v>0.52378899999999995</v>
      </c>
      <c r="AK23" s="7">
        <f t="shared" si="3"/>
        <v>1.2266330000000001</v>
      </c>
      <c r="AL23" s="7">
        <f t="shared" si="1"/>
        <v>0.57663300000000006</v>
      </c>
    </row>
    <row r="24" spans="1:38" ht="15" x14ac:dyDescent="0.25">
      <c r="A24">
        <v>22</v>
      </c>
      <c r="B24">
        <v>21</v>
      </c>
      <c r="C24">
        <v>22</v>
      </c>
      <c r="D24">
        <v>1</v>
      </c>
      <c r="E24">
        <v>2147483647</v>
      </c>
      <c r="F24">
        <v>0.82</v>
      </c>
      <c r="G24">
        <v>1</v>
      </c>
      <c r="H24">
        <v>0.82255599999999995</v>
      </c>
      <c r="I24">
        <v>0.82255599999999995</v>
      </c>
      <c r="J24">
        <v>0</v>
      </c>
      <c r="K24">
        <v>0</v>
      </c>
      <c r="L24">
        <v>0.53634025336729096</v>
      </c>
      <c r="M24">
        <v>2.3839264997109798E-3</v>
      </c>
      <c r="N24">
        <v>1.1255472594853499</v>
      </c>
      <c r="O24">
        <v>3.0976330598612299E-3</v>
      </c>
      <c r="P24">
        <v>0.58920700611807497</v>
      </c>
      <c r="Q24" s="2">
        <v>1.0656426324893199E-3</v>
      </c>
      <c r="R24">
        <v>0.62415900000000002</v>
      </c>
      <c r="S24">
        <v>2.7990632188706201E-3</v>
      </c>
      <c r="T24">
        <v>1.238391</v>
      </c>
      <c r="U24">
        <v>3.5499308415575998E-3</v>
      </c>
      <c r="V24">
        <v>0.614232</v>
      </c>
      <c r="W24" s="2">
        <v>1.25385235072601E-3</v>
      </c>
      <c r="X24">
        <v>0.82255599999999995</v>
      </c>
      <c r="Y24">
        <v>1.1282719227318401</v>
      </c>
      <c r="Z24">
        <v>2.1295006258868101</v>
      </c>
      <c r="AA24">
        <v>0.64351199999999997</v>
      </c>
      <c r="AB24">
        <v>0.45239404789774501</v>
      </c>
      <c r="AC24">
        <v>1.4532912363489201</v>
      </c>
      <c r="AD24">
        <v>0.58783799999999997</v>
      </c>
      <c r="AE24">
        <v>0.31302133395389597</v>
      </c>
      <c r="AF24">
        <v>1.1685045228123201</v>
      </c>
      <c r="AH24" s="7">
        <f>SBC!D23</f>
        <v>0.9</v>
      </c>
      <c r="AI24" s="7">
        <f t="shared" si="2"/>
        <v>1.55</v>
      </c>
      <c r="AJ24" s="7">
        <f t="shared" si="0"/>
        <v>0.58783799999999997</v>
      </c>
      <c r="AK24" s="7">
        <f t="shared" si="3"/>
        <v>1.8144710000000002</v>
      </c>
      <c r="AL24" s="7">
        <f t="shared" si="1"/>
        <v>0.26447100000000012</v>
      </c>
    </row>
    <row r="25" spans="1:38" ht="15" x14ac:dyDescent="0.25">
      <c r="A25">
        <v>23</v>
      </c>
      <c r="B25">
        <v>22</v>
      </c>
      <c r="C25">
        <v>23</v>
      </c>
      <c r="D25">
        <v>1</v>
      </c>
      <c r="E25">
        <v>2147483647</v>
      </c>
      <c r="F25">
        <v>0.84</v>
      </c>
      <c r="G25">
        <v>1</v>
      </c>
      <c r="H25">
        <v>0.84022300000000005</v>
      </c>
      <c r="I25">
        <v>0.84022300000000005</v>
      </c>
      <c r="J25">
        <v>0</v>
      </c>
      <c r="K25">
        <v>0</v>
      </c>
      <c r="L25">
        <v>0.70969853257654703</v>
      </c>
      <c r="M25">
        <v>2.8935123574555899E-3</v>
      </c>
      <c r="N25">
        <v>1.3441925781606501</v>
      </c>
      <c r="O25">
        <v>3.5741513986729001E-3</v>
      </c>
      <c r="P25">
        <v>0.63449404558404898</v>
      </c>
      <c r="Q25" s="2">
        <v>1.05004048821382E-3</v>
      </c>
      <c r="R25">
        <v>0.79201100000000002</v>
      </c>
      <c r="S25">
        <v>3.2725823371305201E-3</v>
      </c>
      <c r="T25">
        <v>1.4439010000000001</v>
      </c>
      <c r="U25">
        <v>3.9842217111409296E-3</v>
      </c>
      <c r="V25">
        <v>0.65188999999999997</v>
      </c>
      <c r="W25" s="2">
        <v>1.2270506468134901E-3</v>
      </c>
      <c r="X25">
        <v>0.84022300000000005</v>
      </c>
      <c r="Y25">
        <v>1.3415794487380801</v>
      </c>
      <c r="Z25">
        <v>2.3408939671608699</v>
      </c>
      <c r="AA25">
        <v>0.67237100000000005</v>
      </c>
      <c r="AB25">
        <v>0.62541272280783899</v>
      </c>
      <c r="AC25">
        <v>1.6253722061390901</v>
      </c>
      <c r="AD25">
        <v>0.63471299999999997</v>
      </c>
      <c r="AE25">
        <v>0.47162380110510899</v>
      </c>
      <c r="AF25">
        <v>1.3779980725062</v>
      </c>
      <c r="AH25" s="7">
        <f>SBC!D24</f>
        <v>0.65</v>
      </c>
      <c r="AI25" s="7">
        <f t="shared" si="2"/>
        <v>2.2000000000000002</v>
      </c>
      <c r="AJ25" s="7">
        <f t="shared" si="0"/>
        <v>0.63471299999999997</v>
      </c>
      <c r="AK25" s="7">
        <f t="shared" si="3"/>
        <v>2.4491840000000002</v>
      </c>
      <c r="AL25" s="7">
        <f t="shared" si="1"/>
        <v>0.24918400000000007</v>
      </c>
    </row>
    <row r="26" spans="1:38" ht="15" x14ac:dyDescent="0.25">
      <c r="A26">
        <v>24</v>
      </c>
      <c r="B26">
        <v>23</v>
      </c>
      <c r="C26">
        <v>24</v>
      </c>
      <c r="D26">
        <v>1</v>
      </c>
      <c r="E26">
        <v>2147483647</v>
      </c>
      <c r="F26">
        <v>0.85</v>
      </c>
      <c r="G26">
        <v>1</v>
      </c>
      <c r="H26">
        <v>0.850692</v>
      </c>
      <c r="I26">
        <v>0.850692</v>
      </c>
      <c r="J26">
        <v>0</v>
      </c>
      <c r="K26">
        <v>0</v>
      </c>
      <c r="L26">
        <v>0.87131054884301795</v>
      </c>
      <c r="M26">
        <v>3.3452643947884798E-3</v>
      </c>
      <c r="N26">
        <v>1.53834895173713</v>
      </c>
      <c r="O26">
        <v>3.9959004575256304E-3</v>
      </c>
      <c r="P26">
        <v>0.66703840289414296</v>
      </c>
      <c r="Q26" s="2">
        <v>1.03250801838551E-3</v>
      </c>
      <c r="R26">
        <v>0.94864199999999999</v>
      </c>
      <c r="S26">
        <v>3.6968098601632398E-3</v>
      </c>
      <c r="T26">
        <v>1.6291230000000001</v>
      </c>
      <c r="U26">
        <v>4.3739229367601301E-3</v>
      </c>
      <c r="V26">
        <v>0.680481</v>
      </c>
      <c r="W26" s="2">
        <v>1.2010841213797099E-3</v>
      </c>
      <c r="X26">
        <v>0.850692</v>
      </c>
      <c r="Y26">
        <v>1.5371287092691199</v>
      </c>
      <c r="Z26">
        <v>2.5383730590996199</v>
      </c>
      <c r="AA26">
        <v>0.69406100000000004</v>
      </c>
      <c r="AB26">
        <v>0.79315133980238905</v>
      </c>
      <c r="AC26">
        <v>1.79389999580381</v>
      </c>
      <c r="AD26">
        <v>0.66547000000000001</v>
      </c>
      <c r="AE26">
        <v>0.63579162399488398</v>
      </c>
      <c r="AF26">
        <v>1.5740749823975</v>
      </c>
      <c r="AH26" s="7">
        <f>SBC!D25</f>
        <v>0.9</v>
      </c>
      <c r="AI26" s="7">
        <f t="shared" si="2"/>
        <v>3.1</v>
      </c>
      <c r="AJ26" s="7">
        <f t="shared" si="0"/>
        <v>0.66547000000000001</v>
      </c>
      <c r="AK26" s="7">
        <f t="shared" si="3"/>
        <v>3.1146540000000003</v>
      </c>
      <c r="AL26" s="7">
        <f t="shared" si="1"/>
        <v>1.4654000000000167E-2</v>
      </c>
    </row>
    <row r="27" spans="1:38" ht="15" x14ac:dyDescent="0.25">
      <c r="A27">
        <v>25</v>
      </c>
      <c r="B27">
        <v>24</v>
      </c>
      <c r="C27">
        <v>25</v>
      </c>
      <c r="D27">
        <v>1</v>
      </c>
      <c r="E27">
        <v>2147483647</v>
      </c>
      <c r="F27">
        <v>0.87</v>
      </c>
      <c r="G27">
        <v>1</v>
      </c>
      <c r="H27">
        <v>0.86892999999999998</v>
      </c>
      <c r="I27">
        <v>0.86892999999999998</v>
      </c>
      <c r="J27">
        <v>0</v>
      </c>
      <c r="K27">
        <v>0</v>
      </c>
      <c r="L27">
        <v>1.0263040804179799</v>
      </c>
      <c r="M27">
        <v>3.7617574598691099E-3</v>
      </c>
      <c r="N27">
        <v>1.7186408556416599</v>
      </c>
      <c r="O27">
        <v>4.3853877826567399E-3</v>
      </c>
      <c r="P27">
        <v>0.69233677522370196</v>
      </c>
      <c r="Q27" s="2">
        <v>1.01348309358506E-3</v>
      </c>
      <c r="R27">
        <v>1.1019730000000001</v>
      </c>
      <c r="S27">
        <v>4.0967870761391004E-3</v>
      </c>
      <c r="T27">
        <v>1.8046249999999999</v>
      </c>
      <c r="U27">
        <v>4.7453149257906E-3</v>
      </c>
      <c r="V27">
        <v>0.70265200000000005</v>
      </c>
      <c r="W27" s="2">
        <v>1.1773883488391799E-3</v>
      </c>
      <c r="X27">
        <v>0.86892999999999998</v>
      </c>
      <c r="Y27">
        <v>1.7222996041881</v>
      </c>
      <c r="Z27">
        <v>2.7224907718307501</v>
      </c>
      <c r="AA27">
        <v>0.71559899999999999</v>
      </c>
      <c r="AB27">
        <v>0.95345639236980995</v>
      </c>
      <c r="AC27">
        <v>1.95271557750109</v>
      </c>
      <c r="AD27">
        <v>0.69342800000000004</v>
      </c>
      <c r="AE27">
        <v>0.79815399027765599</v>
      </c>
      <c r="AF27">
        <v>1.7544854505599501</v>
      </c>
      <c r="AH27" s="7">
        <f>SBC!D26</f>
        <v>0.65</v>
      </c>
      <c r="AI27" s="7">
        <f t="shared" si="2"/>
        <v>3.75</v>
      </c>
      <c r="AJ27" s="7">
        <f t="shared" si="0"/>
        <v>0.69342800000000004</v>
      </c>
      <c r="AK27" s="7">
        <f t="shared" si="3"/>
        <v>3.8080820000000002</v>
      </c>
      <c r="AL27" s="7">
        <f t="shared" si="1"/>
        <v>5.8082000000000189E-2</v>
      </c>
    </row>
    <row r="28" spans="1:38" ht="15" x14ac:dyDescent="0.25">
      <c r="A28">
        <v>26</v>
      </c>
      <c r="B28">
        <v>25</v>
      </c>
      <c r="C28">
        <v>26</v>
      </c>
      <c r="D28">
        <v>1</v>
      </c>
      <c r="E28">
        <v>2147483647</v>
      </c>
      <c r="F28">
        <v>0.88</v>
      </c>
      <c r="G28">
        <v>1</v>
      </c>
      <c r="H28">
        <v>0.879297</v>
      </c>
      <c r="I28">
        <v>0.879297</v>
      </c>
      <c r="J28">
        <v>0</v>
      </c>
      <c r="K28">
        <v>0</v>
      </c>
      <c r="L28">
        <v>1.1758812660874101</v>
      </c>
      <c r="M28">
        <v>4.1483229278681602E-3</v>
      </c>
      <c r="N28">
        <v>1.88921636407155</v>
      </c>
      <c r="O28">
        <v>4.7476265267736998E-3</v>
      </c>
      <c r="P28">
        <v>0.71333509798402905</v>
      </c>
      <c r="Q28" s="2">
        <v>9.9536782047389308E-4</v>
      </c>
      <c r="R28">
        <v>1.2479709999999999</v>
      </c>
      <c r="S28">
        <v>4.4627440507772802E-3</v>
      </c>
      <c r="T28">
        <v>1.9707870000000001</v>
      </c>
      <c r="U28">
        <v>5.0828792071348798E-3</v>
      </c>
      <c r="V28">
        <v>0.72281600000000001</v>
      </c>
      <c r="W28" s="2">
        <v>1.15296211503532E-3</v>
      </c>
      <c r="X28">
        <v>0.879297</v>
      </c>
      <c r="Y28">
        <v>1.88448840522381</v>
      </c>
      <c r="Z28">
        <v>2.88516154896111</v>
      </c>
      <c r="AA28">
        <v>0.73329900000000003</v>
      </c>
      <c r="AB28">
        <v>1.1014484696907001</v>
      </c>
      <c r="AC28">
        <v>2.1029394317403698</v>
      </c>
      <c r="AD28">
        <v>0.71313499999999996</v>
      </c>
      <c r="AE28">
        <v>0.95367226725399601</v>
      </c>
      <c r="AF28">
        <v>1.9197806230748999</v>
      </c>
      <c r="AH28" s="7">
        <f>SBC!D27</f>
        <v>0.9</v>
      </c>
      <c r="AI28" s="7">
        <f t="shared" si="2"/>
        <v>4.6500000000000004</v>
      </c>
      <c r="AJ28" s="7">
        <f t="shared" si="0"/>
        <v>0.71313499999999996</v>
      </c>
      <c r="AK28" s="7">
        <f t="shared" si="3"/>
        <v>4.521217</v>
      </c>
      <c r="AL28" s="7">
        <f t="shared" si="1"/>
        <v>-0.12878300000000031</v>
      </c>
    </row>
    <row r="29" spans="1:38" ht="15" x14ac:dyDescent="0.25">
      <c r="A29">
        <v>27</v>
      </c>
      <c r="B29">
        <v>26</v>
      </c>
      <c r="C29">
        <v>27</v>
      </c>
      <c r="D29">
        <v>1</v>
      </c>
      <c r="E29">
        <v>2147483647</v>
      </c>
      <c r="F29">
        <v>0.88</v>
      </c>
      <c r="G29">
        <v>1</v>
      </c>
      <c r="H29">
        <v>0.87815200000000004</v>
      </c>
      <c r="I29">
        <v>0.87815200000000004</v>
      </c>
      <c r="J29">
        <v>0</v>
      </c>
      <c r="K29">
        <v>0</v>
      </c>
      <c r="L29">
        <v>1.3164984655269401</v>
      </c>
      <c r="M29">
        <v>4.5066823182454098E-3</v>
      </c>
      <c r="N29">
        <v>2.0465164185497402</v>
      </c>
      <c r="O29">
        <v>5.0853788427743301E-3</v>
      </c>
      <c r="P29">
        <v>0.73001795302280903</v>
      </c>
      <c r="Q29" s="2">
        <v>9.80565968605864E-4</v>
      </c>
      <c r="R29">
        <v>1.38296</v>
      </c>
      <c r="S29">
        <v>4.8051166309388202E-3</v>
      </c>
      <c r="T29">
        <v>2.1199699999999999</v>
      </c>
      <c r="U29">
        <v>5.4038364637869199E-3</v>
      </c>
      <c r="V29">
        <v>0.73701000000000005</v>
      </c>
      <c r="W29" s="2">
        <v>1.13402698071922E-3</v>
      </c>
      <c r="X29">
        <v>0.87815200000000004</v>
      </c>
      <c r="Y29">
        <v>2.0480705822448599</v>
      </c>
      <c r="Z29">
        <v>3.0480810281595399</v>
      </c>
      <c r="AA29">
        <v>0.74316300000000002</v>
      </c>
      <c r="AB29">
        <v>1.25017156508454</v>
      </c>
      <c r="AC29">
        <v>2.2501466420146801</v>
      </c>
      <c r="AD29">
        <v>0.72896899999999998</v>
      </c>
      <c r="AE29">
        <v>1.1041027724772701</v>
      </c>
      <c r="AF29">
        <v>2.0769969875881</v>
      </c>
      <c r="AH29" s="7">
        <f>SBC!D28</f>
        <v>0.65</v>
      </c>
      <c r="AI29" s="7">
        <f t="shared" si="2"/>
        <v>5.3000000000000007</v>
      </c>
      <c r="AJ29" s="7">
        <f t="shared" si="0"/>
        <v>0.72896899999999998</v>
      </c>
      <c r="AK29" s="7">
        <f t="shared" si="3"/>
        <v>5.2501860000000002</v>
      </c>
      <c r="AL29" s="7">
        <f t="shared" si="1"/>
        <v>-4.9814000000000469E-2</v>
      </c>
    </row>
    <row r="30" spans="1:38" ht="15" x14ac:dyDescent="0.25">
      <c r="A30">
        <v>28</v>
      </c>
      <c r="B30">
        <v>27</v>
      </c>
      <c r="C30">
        <v>28</v>
      </c>
      <c r="D30">
        <v>1</v>
      </c>
      <c r="E30">
        <v>2147483647</v>
      </c>
      <c r="F30">
        <v>0.89</v>
      </c>
      <c r="G30">
        <v>1</v>
      </c>
      <c r="H30">
        <v>0.891652</v>
      </c>
      <c r="I30">
        <v>0.891652</v>
      </c>
      <c r="J30">
        <v>0</v>
      </c>
      <c r="K30">
        <v>0</v>
      </c>
      <c r="L30">
        <v>1.4506642333719899</v>
      </c>
      <c r="M30">
        <v>4.8461398778945298E-3</v>
      </c>
      <c r="N30">
        <v>2.19486542820639</v>
      </c>
      <c r="O30">
        <v>5.4050401083011604E-3</v>
      </c>
      <c r="P30">
        <v>0.74420119483446301</v>
      </c>
      <c r="Q30" s="2">
        <v>9.6427897792895304E-4</v>
      </c>
      <c r="R30">
        <v>1.5164299999999999</v>
      </c>
      <c r="S30">
        <v>5.13214972172929E-3</v>
      </c>
      <c r="T30">
        <v>2.2672599999999998</v>
      </c>
      <c r="U30">
        <v>5.7091349695931803E-3</v>
      </c>
      <c r="V30">
        <v>0.75083</v>
      </c>
      <c r="W30" s="2">
        <v>1.11412973204281E-3</v>
      </c>
      <c r="X30">
        <v>0.891652</v>
      </c>
      <c r="Y30">
        <v>2.1932431891717998</v>
      </c>
      <c r="Z30">
        <v>3.1931680127322801</v>
      </c>
      <c r="AA30">
        <v>0.75818200000000002</v>
      </c>
      <c r="AB30">
        <v>1.38583871856013</v>
      </c>
      <c r="AC30">
        <v>2.3878906140631102</v>
      </c>
      <c r="AD30">
        <v>0.74436199999999997</v>
      </c>
      <c r="AE30">
        <v>1.2479993231984401</v>
      </c>
      <c r="AF30">
        <v>2.2275555827546198</v>
      </c>
      <c r="AH30" s="7">
        <f>SBC!D29</f>
        <v>0.9</v>
      </c>
      <c r="AI30" s="7">
        <f t="shared" si="2"/>
        <v>6.2000000000000011</v>
      </c>
      <c r="AJ30" s="7">
        <f t="shared" si="0"/>
        <v>0.74436199999999997</v>
      </c>
      <c r="AK30" s="7">
        <f t="shared" si="3"/>
        <v>5.994548</v>
      </c>
      <c r="AL30" s="7">
        <f t="shared" si="1"/>
        <v>-0.20545200000000108</v>
      </c>
    </row>
    <row r="31" spans="1:38" ht="15" x14ac:dyDescent="0.25">
      <c r="A31">
        <v>29</v>
      </c>
      <c r="B31">
        <v>28</v>
      </c>
      <c r="C31">
        <v>29</v>
      </c>
      <c r="D31">
        <v>1</v>
      </c>
      <c r="E31">
        <v>2147483647</v>
      </c>
      <c r="F31">
        <v>0.9</v>
      </c>
      <c r="G31">
        <v>1</v>
      </c>
      <c r="H31">
        <v>0.90049800000000002</v>
      </c>
      <c r="I31">
        <v>0.90049800000000002</v>
      </c>
      <c r="J31">
        <v>0</v>
      </c>
      <c r="K31">
        <v>0</v>
      </c>
      <c r="L31">
        <v>1.5834293497735099</v>
      </c>
      <c r="M31">
        <v>5.1676890223625203E-3</v>
      </c>
      <c r="N31">
        <v>2.3405788287616098</v>
      </c>
      <c r="O31">
        <v>5.7084662773695298E-3</v>
      </c>
      <c r="P31">
        <v>0.757149478988142</v>
      </c>
      <c r="Q31" s="2">
        <v>9.4887582315749395E-4</v>
      </c>
      <c r="R31">
        <v>1.6476470000000001</v>
      </c>
      <c r="S31">
        <v>5.4398687524005998E-3</v>
      </c>
      <c r="T31">
        <v>2.4104450000000002</v>
      </c>
      <c r="U31">
        <v>5.9982364767722203E-3</v>
      </c>
      <c r="V31">
        <v>0.76279799999999998</v>
      </c>
      <c r="W31" s="2">
        <v>1.0956731663970701E-3</v>
      </c>
      <c r="X31">
        <v>0.90049800000000002</v>
      </c>
      <c r="Y31">
        <v>2.3414303247025701</v>
      </c>
      <c r="Z31">
        <v>3.3407494839394398</v>
      </c>
      <c r="AA31">
        <v>0.76928099999999999</v>
      </c>
      <c r="AB31">
        <v>1.5230866366129701</v>
      </c>
      <c r="AC31">
        <v>2.5219300957633899</v>
      </c>
      <c r="AD31">
        <v>0.75731300000000001</v>
      </c>
      <c r="AE31">
        <v>1.3906978014162701</v>
      </c>
      <c r="AF31">
        <v>2.3728086389783201</v>
      </c>
      <c r="AH31" s="7">
        <f>SBC!D30</f>
        <v>0.65</v>
      </c>
      <c r="AI31" s="7">
        <f t="shared" si="2"/>
        <v>6.8500000000000014</v>
      </c>
      <c r="AJ31" s="7">
        <f t="shared" si="0"/>
        <v>0.75731300000000001</v>
      </c>
      <c r="AK31" s="7">
        <f t="shared" si="3"/>
        <v>6.7518609999999999</v>
      </c>
      <c r="AL31" s="7">
        <f t="shared" si="1"/>
        <v>-9.8139000000001531E-2</v>
      </c>
    </row>
    <row r="32" spans="1:38" ht="15" x14ac:dyDescent="0.25">
      <c r="A32">
        <v>30</v>
      </c>
      <c r="B32">
        <v>29</v>
      </c>
      <c r="C32">
        <v>30</v>
      </c>
      <c r="D32">
        <v>1</v>
      </c>
      <c r="E32">
        <v>2147483647</v>
      </c>
      <c r="F32">
        <v>0.9</v>
      </c>
      <c r="G32">
        <v>1</v>
      </c>
      <c r="H32">
        <v>0.89996900000000002</v>
      </c>
      <c r="I32">
        <v>0.89996900000000002</v>
      </c>
      <c r="J32">
        <v>0</v>
      </c>
      <c r="K32">
        <v>0</v>
      </c>
      <c r="L32">
        <v>1.70966614511714</v>
      </c>
      <c r="M32">
        <v>5.4720289624204596E-3</v>
      </c>
      <c r="N32">
        <v>2.4772882367808902</v>
      </c>
      <c r="O32">
        <v>5.9976476348545396E-3</v>
      </c>
      <c r="P32">
        <v>0.76762209166367401</v>
      </c>
      <c r="Q32" s="2">
        <v>9.3552899032542098E-4</v>
      </c>
      <c r="R32">
        <v>1.7713460000000001</v>
      </c>
      <c r="S32">
        <v>5.7386721490492402E-3</v>
      </c>
      <c r="T32">
        <v>2.5433590000000001</v>
      </c>
      <c r="U32">
        <v>6.2816465664716197E-3</v>
      </c>
      <c r="V32">
        <v>0.77201299999999995</v>
      </c>
      <c r="W32" s="2">
        <v>1.0806484335875799E-3</v>
      </c>
      <c r="X32">
        <v>0.89996900000000002</v>
      </c>
      <c r="Y32">
        <v>2.4771230591479099</v>
      </c>
      <c r="Z32">
        <v>3.47667048133391</v>
      </c>
      <c r="AA32">
        <v>0.77627000000000002</v>
      </c>
      <c r="AB32">
        <v>1.64770252801883</v>
      </c>
      <c r="AC32">
        <v>2.6470299954491798</v>
      </c>
      <c r="AD32">
        <v>0.76705500000000004</v>
      </c>
      <c r="AE32">
        <v>1.51833113370124</v>
      </c>
      <c r="AF32">
        <v>2.5017807984429599</v>
      </c>
      <c r="AH32" s="7">
        <f>SBC!D31</f>
        <v>0.9</v>
      </c>
      <c r="AI32" s="7">
        <f t="shared" si="2"/>
        <v>7.7500000000000018</v>
      </c>
      <c r="AJ32" s="7">
        <f t="shared" si="0"/>
        <v>0.76705500000000004</v>
      </c>
      <c r="AK32" s="7">
        <f t="shared" si="3"/>
        <v>7.5189159999999999</v>
      </c>
      <c r="AL32" s="7">
        <f t="shared" si="1"/>
        <v>-0.23108400000000184</v>
      </c>
    </row>
    <row r="33" spans="1:38" ht="15" x14ac:dyDescent="0.25">
      <c r="A33">
        <v>31</v>
      </c>
      <c r="B33">
        <v>30</v>
      </c>
      <c r="C33">
        <v>31</v>
      </c>
      <c r="D33">
        <v>1</v>
      </c>
      <c r="E33">
        <v>2147483647</v>
      </c>
      <c r="F33">
        <v>0.9</v>
      </c>
      <c r="G33">
        <v>1</v>
      </c>
      <c r="H33">
        <v>0.89976599999999995</v>
      </c>
      <c r="I33">
        <v>0.89976599999999995</v>
      </c>
      <c r="J33">
        <v>0</v>
      </c>
      <c r="K33">
        <v>0</v>
      </c>
      <c r="L33">
        <v>1.8291821630976299</v>
      </c>
      <c r="M33">
        <v>5.7619566487870201E-3</v>
      </c>
      <c r="N33">
        <v>2.6056724726278602</v>
      </c>
      <c r="O33">
        <v>6.2741703333247401E-3</v>
      </c>
      <c r="P33">
        <v>0.77649030953030795</v>
      </c>
      <c r="Q33" s="2">
        <v>9.2443307182371495E-4</v>
      </c>
      <c r="R33">
        <v>1.885502</v>
      </c>
      <c r="S33">
        <v>6.01223512028334E-3</v>
      </c>
      <c r="T33">
        <v>2.6654840000000002</v>
      </c>
      <c r="U33">
        <v>6.5414436783289001E-3</v>
      </c>
      <c r="V33">
        <v>0.77998199999999995</v>
      </c>
      <c r="W33" s="2">
        <v>1.0670591053654299E-3</v>
      </c>
      <c r="X33">
        <v>0.89976599999999995</v>
      </c>
      <c r="Y33">
        <v>2.60055939741736</v>
      </c>
      <c r="Z33">
        <v>3.5977113901262099</v>
      </c>
      <c r="AA33">
        <v>0.78561000000000003</v>
      </c>
      <c r="AB33">
        <v>1.77458729956286</v>
      </c>
      <c r="AC33">
        <v>2.77367780173567</v>
      </c>
      <c r="AD33">
        <v>0.77764100000000003</v>
      </c>
      <c r="AE33">
        <v>1.6482699836188499</v>
      </c>
      <c r="AF33">
        <v>2.63581348433845</v>
      </c>
      <c r="AH33" s="7">
        <f>SBC!D32</f>
        <v>0.65</v>
      </c>
      <c r="AI33" s="7">
        <f t="shared" si="2"/>
        <v>8.4000000000000021</v>
      </c>
      <c r="AJ33" s="7">
        <f t="shared" si="0"/>
        <v>0.77764100000000003</v>
      </c>
      <c r="AK33" s="7">
        <f t="shared" si="3"/>
        <v>8.296557</v>
      </c>
      <c r="AL33" s="7">
        <f t="shared" si="1"/>
        <v>-0.10344300000000217</v>
      </c>
    </row>
    <row r="34" spans="1:38" ht="15" x14ac:dyDescent="0.25">
      <c r="A34">
        <v>32</v>
      </c>
      <c r="B34">
        <v>31</v>
      </c>
      <c r="C34">
        <v>32</v>
      </c>
      <c r="D34">
        <v>1</v>
      </c>
      <c r="E34">
        <v>2147483647</v>
      </c>
      <c r="F34">
        <v>0.91</v>
      </c>
      <c r="G34">
        <v>1</v>
      </c>
      <c r="H34">
        <v>0.90982499999999999</v>
      </c>
      <c r="I34">
        <v>0.90982499999999999</v>
      </c>
      <c r="J34">
        <v>0</v>
      </c>
      <c r="K34">
        <v>0</v>
      </c>
      <c r="L34">
        <v>1.9450492360770399</v>
      </c>
      <c r="M34">
        <v>6.0400305235316998E-3</v>
      </c>
      <c r="N34">
        <v>2.7293919122028401</v>
      </c>
      <c r="O34">
        <v>6.5399127451231699E-3</v>
      </c>
      <c r="P34">
        <v>0.78434267612568498</v>
      </c>
      <c r="Q34" s="2">
        <v>9.1366498473909399E-4</v>
      </c>
      <c r="R34">
        <v>2.0030929999999998</v>
      </c>
      <c r="S34">
        <v>6.2895029148832696E-3</v>
      </c>
      <c r="T34">
        <v>2.7911809999999999</v>
      </c>
      <c r="U34">
        <v>6.8043121827148804E-3</v>
      </c>
      <c r="V34">
        <v>0.78808800000000001</v>
      </c>
      <c r="W34" s="2">
        <v>1.0526456790205499E-3</v>
      </c>
      <c r="X34">
        <v>0.90982499999999999</v>
      </c>
      <c r="Y34">
        <v>2.7314376887610399</v>
      </c>
      <c r="Z34">
        <v>3.73188273389581</v>
      </c>
      <c r="AA34">
        <v>0.79223399999999999</v>
      </c>
      <c r="AB34">
        <v>1.89299651056406</v>
      </c>
      <c r="AC34">
        <v>2.8934380520310699</v>
      </c>
      <c r="AD34">
        <v>0.78412800000000005</v>
      </c>
      <c r="AE34">
        <v>1.77236859068915</v>
      </c>
      <c r="AF34">
        <v>2.7616336308513998</v>
      </c>
      <c r="AH34" s="7">
        <f>SBC!D33</f>
        <v>0.9</v>
      </c>
      <c r="AI34" s="7">
        <f t="shared" si="2"/>
        <v>9.3000000000000025</v>
      </c>
      <c r="AJ34" s="7">
        <f t="shared" si="0"/>
        <v>0.78412800000000005</v>
      </c>
      <c r="AK34" s="7">
        <f t="shared" si="3"/>
        <v>9.0806850000000008</v>
      </c>
      <c r="AL34" s="7">
        <f t="shared" si="1"/>
        <v>-0.2193150000000017</v>
      </c>
    </row>
    <row r="35" spans="1:38" ht="15" x14ac:dyDescent="0.25">
      <c r="A35">
        <v>33</v>
      </c>
      <c r="B35">
        <v>32</v>
      </c>
      <c r="C35">
        <v>33</v>
      </c>
      <c r="D35">
        <v>1</v>
      </c>
      <c r="E35">
        <v>2147483647</v>
      </c>
      <c r="F35">
        <v>0.81</v>
      </c>
      <c r="G35">
        <v>1</v>
      </c>
      <c r="H35">
        <v>0.80856499999999998</v>
      </c>
      <c r="I35">
        <v>0.80856499999999998</v>
      </c>
      <c r="J35">
        <v>0</v>
      </c>
      <c r="K35">
        <v>0</v>
      </c>
      <c r="L35">
        <v>2.01862091501977</v>
      </c>
      <c r="M35">
        <v>6.2738226119304101E-3</v>
      </c>
      <c r="N35">
        <v>2.8021796074015999</v>
      </c>
      <c r="O35">
        <v>6.7756639750758E-3</v>
      </c>
      <c r="P35">
        <v>0.78355869238171405</v>
      </c>
      <c r="Q35" s="2">
        <v>9.2302305498064496E-4</v>
      </c>
      <c r="R35">
        <v>2.0347430000000002</v>
      </c>
      <c r="S35">
        <v>6.4599261691065703E-3</v>
      </c>
      <c r="T35">
        <v>2.8152659999999998</v>
      </c>
      <c r="U35">
        <v>6.9852175443925104E-3</v>
      </c>
      <c r="V35">
        <v>0.78052299999999997</v>
      </c>
      <c r="W35" s="2">
        <v>1.06611594743822E-3</v>
      </c>
      <c r="X35">
        <v>0.80856499999999998</v>
      </c>
      <c r="Y35">
        <v>2.79921231613393</v>
      </c>
      <c r="Z35">
        <v>3.7984467614483801</v>
      </c>
      <c r="AA35">
        <v>0.77691500000000002</v>
      </c>
      <c r="AB35">
        <v>2.0662291865741702</v>
      </c>
      <c r="AC35">
        <v>3.0640540213838201</v>
      </c>
      <c r="AD35">
        <v>0.78447999999999996</v>
      </c>
      <c r="AE35">
        <v>1.91374005780764</v>
      </c>
      <c r="AF35">
        <v>2.9112900697266499</v>
      </c>
      <c r="AH35" s="7">
        <f>SBC!D34</f>
        <v>0.65</v>
      </c>
      <c r="AI35" s="7">
        <f t="shared" si="2"/>
        <v>9.9500000000000028</v>
      </c>
      <c r="AJ35" s="7">
        <f t="shared" si="0"/>
        <v>0.78447999999999996</v>
      </c>
      <c r="AK35" s="7">
        <f t="shared" si="3"/>
        <v>9.8651650000000011</v>
      </c>
      <c r="AL35" s="7">
        <f t="shared" si="1"/>
        <v>-8.483500000000177E-2</v>
      </c>
    </row>
    <row r="36" spans="1:38" ht="15" x14ac:dyDescent="0.25">
      <c r="A36">
        <v>34</v>
      </c>
      <c r="B36">
        <v>33</v>
      </c>
      <c r="C36">
        <v>34</v>
      </c>
      <c r="D36">
        <v>1</v>
      </c>
      <c r="E36">
        <v>2147483647</v>
      </c>
      <c r="F36">
        <v>0.91</v>
      </c>
      <c r="G36">
        <v>1</v>
      </c>
      <c r="H36">
        <v>0.91022199999999998</v>
      </c>
      <c r="I36">
        <v>0.91022199999999998</v>
      </c>
      <c r="J36">
        <v>0</v>
      </c>
      <c r="K36">
        <v>0</v>
      </c>
      <c r="L36">
        <v>2.0904642207105599</v>
      </c>
      <c r="M36">
        <v>6.4774750782670499E-3</v>
      </c>
      <c r="N36">
        <v>2.87744112723971</v>
      </c>
      <c r="O36">
        <v>6.9704946583038696E-3</v>
      </c>
      <c r="P36">
        <v>0.78697690652912899</v>
      </c>
      <c r="Q36" s="2">
        <v>9.1155211546692903E-4</v>
      </c>
      <c r="R36">
        <v>2.1448670000000001</v>
      </c>
      <c r="S36">
        <v>6.7065842966515304E-3</v>
      </c>
      <c r="T36">
        <v>2.9374380000000002</v>
      </c>
      <c r="U36">
        <v>7.2092230276915E-3</v>
      </c>
      <c r="V36">
        <v>0.79257100000000003</v>
      </c>
      <c r="W36" s="2">
        <v>1.04440972039585E-3</v>
      </c>
      <c r="X36">
        <v>0.91022199999999998</v>
      </c>
      <c r="Y36">
        <v>2.8790656163928898</v>
      </c>
      <c r="Z36">
        <v>3.8808900106301398</v>
      </c>
      <c r="AA36">
        <v>0.80009799999999998</v>
      </c>
      <c r="AB36">
        <v>2.1150373921266499</v>
      </c>
      <c r="AC36">
        <v>3.1142258259684499</v>
      </c>
      <c r="AD36">
        <v>0.78805000000000003</v>
      </c>
      <c r="AE36">
        <v>2.0286083579671801</v>
      </c>
      <c r="AF36">
        <v>3.0214338488885</v>
      </c>
      <c r="AH36" s="7">
        <f>SBC!D35</f>
        <v>0.9</v>
      </c>
      <c r="AI36" s="7">
        <f t="shared" si="2"/>
        <v>10.850000000000003</v>
      </c>
      <c r="AJ36" s="7">
        <f t="shared" si="0"/>
        <v>0.78805000000000003</v>
      </c>
      <c r="AK36" s="7">
        <f t="shared" si="3"/>
        <v>10.653215000000001</v>
      </c>
      <c r="AL36" s="7">
        <f t="shared" si="1"/>
        <v>-0.19678500000000199</v>
      </c>
    </row>
    <row r="37" spans="1:38" ht="15" x14ac:dyDescent="0.25">
      <c r="A37">
        <v>35</v>
      </c>
      <c r="B37">
        <v>34</v>
      </c>
      <c r="C37">
        <v>35</v>
      </c>
      <c r="D37">
        <v>1</v>
      </c>
      <c r="E37">
        <v>2147483647</v>
      </c>
      <c r="F37">
        <v>0.64</v>
      </c>
      <c r="G37">
        <v>1</v>
      </c>
      <c r="H37">
        <v>0.63985400000000003</v>
      </c>
      <c r="I37">
        <v>0.63985400000000003</v>
      </c>
      <c r="J37">
        <v>0</v>
      </c>
      <c r="K37">
        <v>0</v>
      </c>
      <c r="L37">
        <v>2.09319141758162</v>
      </c>
      <c r="M37">
        <v>6.6244556476142396E-3</v>
      </c>
      <c r="N37">
        <v>2.8675108977111798</v>
      </c>
      <c r="O37">
        <v>7.1392714901658697E-3</v>
      </c>
      <c r="P37">
        <v>0.77431948012954799</v>
      </c>
      <c r="Q37" s="2">
        <v>9.5061151255268202E-4</v>
      </c>
      <c r="R37">
        <v>2.043501</v>
      </c>
      <c r="S37">
        <v>6.70987498128539E-3</v>
      </c>
      <c r="T37">
        <v>2.8031609999999998</v>
      </c>
      <c r="U37">
        <v>7.2629924944282798E-3</v>
      </c>
      <c r="V37">
        <v>0.75966</v>
      </c>
      <c r="W37" s="2">
        <v>1.10062592316885E-3</v>
      </c>
      <c r="X37">
        <v>0.63985400000000003</v>
      </c>
      <c r="Y37">
        <v>2.8659450321188902</v>
      </c>
      <c r="Z37">
        <v>3.8654420268775498</v>
      </c>
      <c r="AA37">
        <v>0.74121999999999999</v>
      </c>
      <c r="AB37">
        <v>2.3915761178036501</v>
      </c>
      <c r="AC37">
        <v>3.3902055268022102</v>
      </c>
      <c r="AD37">
        <v>0.77413100000000001</v>
      </c>
      <c r="AE37">
        <v>2.1793149463560502</v>
      </c>
      <c r="AF37">
        <v>3.18964391409687</v>
      </c>
      <c r="AH37" s="7">
        <f>SBC!D36</f>
        <v>0.65</v>
      </c>
      <c r="AI37" s="7">
        <f t="shared" si="2"/>
        <v>11.500000000000004</v>
      </c>
      <c r="AJ37" s="7">
        <f t="shared" si="0"/>
        <v>0.77413100000000001</v>
      </c>
      <c r="AK37" s="7">
        <f t="shared" si="3"/>
        <v>11.427346000000002</v>
      </c>
      <c r="AL37" s="7">
        <f t="shared" si="1"/>
        <v>-7.2654000000001773E-2</v>
      </c>
    </row>
    <row r="38" spans="1:38" x14ac:dyDescent="0.3">
      <c r="A38">
        <v>36</v>
      </c>
      <c r="B38">
        <v>35</v>
      </c>
      <c r="C38">
        <v>36</v>
      </c>
      <c r="D38">
        <v>1</v>
      </c>
      <c r="E38">
        <v>2147483647</v>
      </c>
      <c r="F38">
        <v>0.91</v>
      </c>
      <c r="G38">
        <v>1</v>
      </c>
      <c r="H38">
        <v>0.90929300000000002</v>
      </c>
      <c r="I38">
        <v>0.90929300000000002</v>
      </c>
      <c r="J38">
        <v>0</v>
      </c>
      <c r="K38">
        <v>0</v>
      </c>
      <c r="L38">
        <v>2.0985265087210001</v>
      </c>
      <c r="M38">
        <v>6.71782306029255E-3</v>
      </c>
      <c r="N38">
        <v>2.8721844037850799</v>
      </c>
      <c r="O38">
        <v>7.2242979447994004E-3</v>
      </c>
      <c r="P38">
        <v>0.77365789506410598</v>
      </c>
      <c r="Q38" s="2">
        <v>9.3282943826910095E-4</v>
      </c>
      <c r="R38">
        <v>2.1544400000000001</v>
      </c>
      <c r="S38">
        <v>6.9238264303536599E-3</v>
      </c>
      <c r="T38">
        <v>2.9379780000000002</v>
      </c>
      <c r="U38">
        <v>7.4332441360192699E-3</v>
      </c>
      <c r="V38">
        <v>0.78353799999999996</v>
      </c>
      <c r="W38" s="2">
        <v>1.06081082990838E-3</v>
      </c>
      <c r="X38">
        <v>0.90929300000000002</v>
      </c>
      <c r="Y38">
        <v>2.8699887344655099</v>
      </c>
      <c r="Z38">
        <v>3.8706573401955602</v>
      </c>
      <c r="AA38">
        <v>0.79835400000000001</v>
      </c>
      <c r="AB38">
        <v>2.2950526403885299</v>
      </c>
      <c r="AC38">
        <v>3.29574834921663</v>
      </c>
      <c r="AD38">
        <v>0.77447600000000005</v>
      </c>
      <c r="AE38">
        <v>2.2797050259742102</v>
      </c>
      <c r="AF38">
        <v>3.28091259546335</v>
      </c>
      <c r="AH38" s="7">
        <f>SBC!D37</f>
        <v>0.9</v>
      </c>
      <c r="AI38" s="7">
        <f t="shared" si="2"/>
        <v>12.400000000000004</v>
      </c>
      <c r="AJ38" s="7">
        <f t="shared" si="0"/>
        <v>0.77447600000000005</v>
      </c>
      <c r="AK38" s="7">
        <f t="shared" si="3"/>
        <v>12.201822000000002</v>
      </c>
      <c r="AL38" s="7">
        <f t="shared" si="1"/>
        <v>-0.19817800000000219</v>
      </c>
    </row>
    <row r="39" spans="1:38" x14ac:dyDescent="0.3">
      <c r="A39">
        <v>37</v>
      </c>
      <c r="B39">
        <v>36</v>
      </c>
      <c r="C39">
        <v>37</v>
      </c>
      <c r="D39">
        <v>1</v>
      </c>
      <c r="E39">
        <v>2147483647</v>
      </c>
      <c r="F39">
        <v>0.64</v>
      </c>
      <c r="G39">
        <v>1</v>
      </c>
      <c r="H39">
        <v>0.639378</v>
      </c>
      <c r="I39">
        <v>0.639378</v>
      </c>
      <c r="J39">
        <v>0</v>
      </c>
      <c r="K39">
        <v>0</v>
      </c>
      <c r="L39">
        <v>2.1054163755023501</v>
      </c>
      <c r="M39">
        <v>6.8307876669420802E-3</v>
      </c>
      <c r="N39">
        <v>2.87223300306231</v>
      </c>
      <c r="O39">
        <v>7.3494781816184698E-3</v>
      </c>
      <c r="P39">
        <v>0.76681662756005997</v>
      </c>
      <c r="Q39" s="2">
        <v>9.62532328467193E-4</v>
      </c>
      <c r="R39">
        <v>2.0571350000000002</v>
      </c>
      <c r="S39">
        <v>6.90037343964006E-3</v>
      </c>
      <c r="T39">
        <v>2.8102179999999999</v>
      </c>
      <c r="U39">
        <v>7.4558155818071903E-3</v>
      </c>
      <c r="V39">
        <v>0.75308299999999995</v>
      </c>
      <c r="W39" s="2">
        <v>1.1107440549583301E-3</v>
      </c>
      <c r="X39">
        <v>0.639378</v>
      </c>
      <c r="Y39">
        <v>2.86960857919683</v>
      </c>
      <c r="Z39">
        <v>3.8678252867771801</v>
      </c>
      <c r="AA39">
        <v>0.73668299999999998</v>
      </c>
      <c r="AB39">
        <v>2.5597433319266099</v>
      </c>
      <c r="AC39">
        <v>3.557996297171</v>
      </c>
      <c r="AD39">
        <v>0.76713799999999999</v>
      </c>
      <c r="AE39">
        <v>2.3832069490779699</v>
      </c>
      <c r="AF39">
        <v>3.3935047680366801</v>
      </c>
      <c r="AH39" s="7">
        <f>SBC!D38</f>
        <v>0.65</v>
      </c>
      <c r="AI39" s="7">
        <f t="shared" si="2"/>
        <v>13.050000000000004</v>
      </c>
      <c r="AJ39" s="7">
        <f t="shared" si="0"/>
        <v>0.76713799999999999</v>
      </c>
      <c r="AK39" s="7">
        <f t="shared" si="3"/>
        <v>12.968960000000001</v>
      </c>
      <c r="AL39" s="7">
        <f t="shared" si="1"/>
        <v>-8.1040000000003332E-2</v>
      </c>
    </row>
    <row r="40" spans="1:38" x14ac:dyDescent="0.3">
      <c r="A40">
        <v>38</v>
      </c>
      <c r="B40">
        <v>37</v>
      </c>
      <c r="C40">
        <v>38</v>
      </c>
      <c r="D40">
        <v>1</v>
      </c>
      <c r="E40">
        <v>2147483647</v>
      </c>
      <c r="F40">
        <v>0.91</v>
      </c>
      <c r="G40">
        <v>1</v>
      </c>
      <c r="H40">
        <v>0.91061400000000003</v>
      </c>
      <c r="I40">
        <v>0.91061400000000003</v>
      </c>
      <c r="J40">
        <v>0</v>
      </c>
      <c r="K40">
        <v>0</v>
      </c>
      <c r="L40">
        <v>2.11413533624274</v>
      </c>
      <c r="M40">
        <v>6.9029008932232202E-3</v>
      </c>
      <c r="N40">
        <v>2.8826487190208199</v>
      </c>
      <c r="O40">
        <v>7.4104784731570499E-3</v>
      </c>
      <c r="P40">
        <v>0.76851338277805603</v>
      </c>
      <c r="Q40" s="2">
        <v>9.4025720931136295E-4</v>
      </c>
      <c r="R40">
        <v>2.1716660000000001</v>
      </c>
      <c r="S40">
        <v>7.0998821768899802E-3</v>
      </c>
      <c r="T40">
        <v>2.9512770000000002</v>
      </c>
      <c r="U40">
        <v>7.6091650313247E-3</v>
      </c>
      <c r="V40">
        <v>0.77961100000000005</v>
      </c>
      <c r="W40" s="2">
        <v>1.06770435917983E-3</v>
      </c>
      <c r="X40">
        <v>0.91061400000000003</v>
      </c>
      <c r="Y40">
        <v>2.8835750866669798</v>
      </c>
      <c r="Z40">
        <v>3.8845133531061702</v>
      </c>
      <c r="AA40">
        <v>0.79608299999999999</v>
      </c>
      <c r="AB40">
        <v>2.4040035289185999</v>
      </c>
      <c r="AC40">
        <v>3.4057555245478102</v>
      </c>
      <c r="AD40">
        <v>0.76955499999999999</v>
      </c>
      <c r="AE40">
        <v>2.43281135521261</v>
      </c>
      <c r="AF40">
        <v>3.4296479635968802</v>
      </c>
      <c r="AH40" s="7">
        <f>SBC!D39</f>
        <v>0.9</v>
      </c>
      <c r="AI40" s="7">
        <f t="shared" si="2"/>
        <v>13.950000000000005</v>
      </c>
      <c r="AJ40" s="7">
        <f t="shared" si="0"/>
        <v>0.76955499999999999</v>
      </c>
      <c r="AK40" s="7">
        <f t="shared" si="3"/>
        <v>13.738515000000001</v>
      </c>
      <c r="AL40" s="7">
        <f t="shared" si="1"/>
        <v>-0.21148500000000325</v>
      </c>
    </row>
    <row r="41" spans="1:38" x14ac:dyDescent="0.3">
      <c r="A41">
        <v>39</v>
      </c>
      <c r="B41">
        <v>38</v>
      </c>
      <c r="C41">
        <v>39</v>
      </c>
      <c r="D41">
        <v>1</v>
      </c>
      <c r="E41">
        <v>2147483647</v>
      </c>
      <c r="F41">
        <v>0.64</v>
      </c>
      <c r="G41">
        <v>1</v>
      </c>
      <c r="H41">
        <v>0.63997199999999999</v>
      </c>
      <c r="I41">
        <v>0.63997199999999999</v>
      </c>
      <c r="J41">
        <v>0</v>
      </c>
      <c r="K41">
        <v>0</v>
      </c>
      <c r="L41">
        <v>2.12455363499318</v>
      </c>
      <c r="M41">
        <v>7.0077639263124297E-3</v>
      </c>
      <c r="N41">
        <v>2.8876318931817102</v>
      </c>
      <c r="O41">
        <v>7.5257606063920297E-3</v>
      </c>
      <c r="P41">
        <v>0.76307825818850905</v>
      </c>
      <c r="Q41" s="2">
        <v>9.6716892608616502E-4</v>
      </c>
      <c r="R41">
        <v>2.0785830000000001</v>
      </c>
      <c r="S41">
        <v>7.0722956077629304E-3</v>
      </c>
      <c r="T41">
        <v>2.8283860000000001</v>
      </c>
      <c r="U41">
        <v>7.6264727707590404E-3</v>
      </c>
      <c r="V41">
        <v>0.749803</v>
      </c>
      <c r="W41" s="2">
        <v>1.11565962215766E-3</v>
      </c>
      <c r="X41">
        <v>0.63997199999999999</v>
      </c>
      <c r="Y41">
        <v>2.8846433787914201</v>
      </c>
      <c r="Z41">
        <v>3.88569414989882</v>
      </c>
      <c r="AA41">
        <v>0.73305500000000001</v>
      </c>
      <c r="AB41">
        <v>2.6565037835193102</v>
      </c>
      <c r="AC41">
        <v>3.65621527661445</v>
      </c>
      <c r="AD41">
        <v>0.76286299999999996</v>
      </c>
      <c r="AE41">
        <v>2.5029964070036699</v>
      </c>
      <c r="AF41">
        <v>3.5097513018385702</v>
      </c>
      <c r="AH41" s="7">
        <f>SBC!D40</f>
        <v>0.65</v>
      </c>
      <c r="AI41" s="7">
        <f t="shared" si="2"/>
        <v>14.600000000000005</v>
      </c>
      <c r="AJ41" s="7">
        <f t="shared" si="0"/>
        <v>0.76286299999999996</v>
      </c>
      <c r="AK41" s="7">
        <f t="shared" si="3"/>
        <v>14.501378000000001</v>
      </c>
      <c r="AL41" s="7">
        <f t="shared" si="1"/>
        <v>-9.8622000000004206E-2</v>
      </c>
    </row>
    <row r="42" spans="1:38" x14ac:dyDescent="0.3">
      <c r="A42">
        <v>40</v>
      </c>
      <c r="B42">
        <v>39</v>
      </c>
      <c r="C42">
        <v>40</v>
      </c>
      <c r="D42">
        <v>1</v>
      </c>
      <c r="E42">
        <v>2147483647</v>
      </c>
      <c r="F42">
        <v>0.91</v>
      </c>
      <c r="G42">
        <v>1</v>
      </c>
      <c r="H42">
        <v>0.91026600000000002</v>
      </c>
      <c r="I42">
        <v>0.91026600000000002</v>
      </c>
      <c r="J42">
        <v>0</v>
      </c>
      <c r="K42">
        <v>0</v>
      </c>
      <c r="L42">
        <v>2.1367103924873998</v>
      </c>
      <c r="M42">
        <v>7.0721728225306996E-3</v>
      </c>
      <c r="N42">
        <v>2.9028020026790502</v>
      </c>
      <c r="O42">
        <v>7.5780094463630196E-3</v>
      </c>
      <c r="P42">
        <v>0.76609161019159699</v>
      </c>
      <c r="Q42" s="2">
        <v>9.4388218099823598E-4</v>
      </c>
      <c r="R42">
        <v>2.1947700000000001</v>
      </c>
      <c r="S42">
        <v>7.2605818782407201E-3</v>
      </c>
      <c r="T42">
        <v>2.9727519999999998</v>
      </c>
      <c r="U42">
        <v>7.76711996947709E-3</v>
      </c>
      <c r="V42">
        <v>0.77798199999999995</v>
      </c>
      <c r="W42" s="2">
        <v>1.0705228634818799E-3</v>
      </c>
      <c r="X42">
        <v>0.91026600000000002</v>
      </c>
      <c r="Y42">
        <v>2.9107684663750999</v>
      </c>
      <c r="Z42">
        <v>3.9096538284431102</v>
      </c>
      <c r="AA42">
        <v>0.79407899999999998</v>
      </c>
      <c r="AB42">
        <v>2.4884764288632599</v>
      </c>
      <c r="AC42">
        <v>3.4886892538165699</v>
      </c>
      <c r="AD42">
        <v>0.76590000000000003</v>
      </c>
      <c r="AE42">
        <v>2.54099683883963</v>
      </c>
      <c r="AF42">
        <v>3.5366029841433999</v>
      </c>
      <c r="AH42" s="7">
        <f>SBC!D41</f>
        <v>0.9</v>
      </c>
      <c r="AI42" s="7">
        <f t="shared" si="2"/>
        <v>15.500000000000005</v>
      </c>
      <c r="AJ42" s="7">
        <f t="shared" si="0"/>
        <v>0.76590000000000003</v>
      </c>
      <c r="AK42" s="7">
        <f t="shared" si="3"/>
        <v>15.267278000000001</v>
      </c>
      <c r="AL42" s="7">
        <f t="shared" si="1"/>
        <v>-0.23272200000000431</v>
      </c>
    </row>
    <row r="43" spans="1:38" x14ac:dyDescent="0.3">
      <c r="A43">
        <v>41</v>
      </c>
      <c r="B43">
        <v>40</v>
      </c>
      <c r="C43">
        <v>41</v>
      </c>
      <c r="D43">
        <v>1</v>
      </c>
      <c r="E43">
        <v>2147483647</v>
      </c>
      <c r="F43">
        <v>0.64</v>
      </c>
      <c r="G43">
        <v>1</v>
      </c>
      <c r="H43">
        <v>0.63900800000000002</v>
      </c>
      <c r="I43">
        <v>0.63900800000000002</v>
      </c>
      <c r="J43">
        <v>0</v>
      </c>
      <c r="K43">
        <v>0</v>
      </c>
      <c r="L43">
        <v>2.14870317761368</v>
      </c>
      <c r="M43">
        <v>7.1661708984464799E-3</v>
      </c>
      <c r="N43">
        <v>2.9102292024093801</v>
      </c>
      <c r="O43">
        <v>7.6817510725730002E-3</v>
      </c>
      <c r="P43">
        <v>0.761526024795666</v>
      </c>
      <c r="Q43" s="2">
        <v>9.7009199302858099E-4</v>
      </c>
      <c r="R43">
        <v>2.1032999999999999</v>
      </c>
      <c r="S43">
        <v>7.2254418373486097E-3</v>
      </c>
      <c r="T43">
        <v>2.8519269999999999</v>
      </c>
      <c r="U43">
        <v>7.7763426580744997E-3</v>
      </c>
      <c r="V43">
        <v>0.74862700000000004</v>
      </c>
      <c r="W43" s="2">
        <v>1.1174012088645999E-3</v>
      </c>
      <c r="X43">
        <v>0.63900800000000002</v>
      </c>
      <c r="Y43">
        <v>2.9115995051564898</v>
      </c>
      <c r="Z43">
        <v>3.9114913584606801</v>
      </c>
      <c r="AA43">
        <v>0.73047799999999996</v>
      </c>
      <c r="AB43">
        <v>2.7373391523228801</v>
      </c>
      <c r="AC43">
        <v>3.73917490314492</v>
      </c>
      <c r="AD43">
        <v>0.75983299999999998</v>
      </c>
      <c r="AE43">
        <v>2.59316766439732</v>
      </c>
      <c r="AF43">
        <v>3.60090077169045</v>
      </c>
      <c r="AH43" s="7">
        <f>SBC!D42</f>
        <v>0.65</v>
      </c>
      <c r="AI43" s="7">
        <f t="shared" si="2"/>
        <v>16.150000000000006</v>
      </c>
      <c r="AJ43" s="7">
        <f t="shared" si="0"/>
        <v>0.75983299999999998</v>
      </c>
      <c r="AK43" s="7">
        <f t="shared" si="3"/>
        <v>16.027111000000001</v>
      </c>
      <c r="AL43" s="7">
        <f t="shared" si="1"/>
        <v>-0.12288900000000424</v>
      </c>
    </row>
    <row r="44" spans="1:38" x14ac:dyDescent="0.3">
      <c r="A44">
        <v>42</v>
      </c>
      <c r="B44">
        <v>41</v>
      </c>
      <c r="C44">
        <v>42</v>
      </c>
      <c r="D44">
        <v>1</v>
      </c>
      <c r="E44">
        <v>2147483647</v>
      </c>
      <c r="F44">
        <v>0.91</v>
      </c>
      <c r="G44">
        <v>1</v>
      </c>
      <c r="H44">
        <v>0.91209200000000001</v>
      </c>
      <c r="I44">
        <v>0.91209200000000001</v>
      </c>
      <c r="J44">
        <v>0</v>
      </c>
      <c r="K44">
        <v>0</v>
      </c>
      <c r="L44">
        <v>2.1621557791036601</v>
      </c>
      <c r="M44">
        <v>7.2192397568087603E-3</v>
      </c>
      <c r="N44">
        <v>2.9276915120370002</v>
      </c>
      <c r="O44">
        <v>7.7215125649719701E-3</v>
      </c>
      <c r="P44">
        <v>0.76553573293333899</v>
      </c>
      <c r="Q44" s="2">
        <v>9.4415134585214299E-4</v>
      </c>
      <c r="R44">
        <v>2.2201810000000002</v>
      </c>
      <c r="S44">
        <v>7.4014631170266501E-3</v>
      </c>
      <c r="T44">
        <v>2.9979689999999999</v>
      </c>
      <c r="U44">
        <v>7.90411631604491E-3</v>
      </c>
      <c r="V44">
        <v>0.77778800000000003</v>
      </c>
      <c r="W44" s="2">
        <v>1.07085693333673E-3</v>
      </c>
      <c r="X44">
        <v>0.91209200000000001</v>
      </c>
      <c r="Y44">
        <v>2.9231948093408802</v>
      </c>
      <c r="Z44">
        <v>3.9230024938969801</v>
      </c>
      <c r="AA44">
        <v>0.795211</v>
      </c>
      <c r="AB44">
        <v>2.5450559808583799</v>
      </c>
      <c r="AC44">
        <v>3.5426967867633801</v>
      </c>
      <c r="AD44">
        <v>0.76605000000000001</v>
      </c>
      <c r="AE44">
        <v>2.61368792149187</v>
      </c>
      <c r="AF44">
        <v>3.60878098177152</v>
      </c>
      <c r="AH44" s="7">
        <f>SBC!D43</f>
        <v>0.9</v>
      </c>
      <c r="AI44" s="7">
        <f t="shared" si="2"/>
        <v>17.050000000000004</v>
      </c>
      <c r="AJ44" s="7">
        <f t="shared" si="0"/>
        <v>0.76605000000000001</v>
      </c>
      <c r="AK44" s="7">
        <f t="shared" si="3"/>
        <v>16.793161000000001</v>
      </c>
      <c r="AL44" s="7">
        <f t="shared" si="1"/>
        <v>-0.25683900000000293</v>
      </c>
    </row>
    <row r="45" spans="1:38" x14ac:dyDescent="0.3">
      <c r="A45">
        <v>43</v>
      </c>
      <c r="B45">
        <v>42</v>
      </c>
      <c r="C45">
        <v>43</v>
      </c>
      <c r="D45">
        <v>1</v>
      </c>
      <c r="E45">
        <v>2147483647</v>
      </c>
      <c r="F45">
        <v>0.64</v>
      </c>
      <c r="G45">
        <v>1</v>
      </c>
      <c r="H45">
        <v>0.64048799999999995</v>
      </c>
      <c r="I45">
        <v>0.64048799999999995</v>
      </c>
      <c r="J45">
        <v>0</v>
      </c>
      <c r="K45">
        <v>0</v>
      </c>
      <c r="L45">
        <v>2.1738877170822501</v>
      </c>
      <c r="M45">
        <v>7.3041381172916503E-3</v>
      </c>
      <c r="N45">
        <v>2.9352857157118302</v>
      </c>
      <c r="O45">
        <v>7.8158778682353696E-3</v>
      </c>
      <c r="P45">
        <v>0.76139799862959801</v>
      </c>
      <c r="Q45" s="2">
        <v>9.6961582831524902E-4</v>
      </c>
      <c r="R45">
        <v>2.1278009999999998</v>
      </c>
      <c r="S45">
        <v>7.3599867604197296E-3</v>
      </c>
      <c r="T45">
        <v>2.8765329999999998</v>
      </c>
      <c r="U45">
        <v>7.9064730747598101E-3</v>
      </c>
      <c r="V45">
        <v>0.74873199999999995</v>
      </c>
      <c r="W45" s="2">
        <v>1.1172461543413499E-3</v>
      </c>
      <c r="X45">
        <v>0.64048799999999995</v>
      </c>
      <c r="Y45">
        <v>2.9346680741712801</v>
      </c>
      <c r="Z45">
        <v>3.9341951021058201</v>
      </c>
      <c r="AA45">
        <v>0.73286799999999996</v>
      </c>
      <c r="AB45">
        <v>2.7986909974486598</v>
      </c>
      <c r="AC45">
        <v>3.79816703999539</v>
      </c>
      <c r="AD45">
        <v>0.76192400000000005</v>
      </c>
      <c r="AE45">
        <v>2.66095132700001</v>
      </c>
      <c r="AF45">
        <v>3.66800441982218</v>
      </c>
      <c r="AH45" s="7">
        <f>SBC!D44</f>
        <v>0.65</v>
      </c>
      <c r="AI45" s="7">
        <f t="shared" si="2"/>
        <v>17.700000000000003</v>
      </c>
      <c r="AJ45" s="7">
        <f t="shared" si="0"/>
        <v>0.76192400000000005</v>
      </c>
      <c r="AK45" s="7">
        <f t="shared" si="3"/>
        <v>17.555085000000002</v>
      </c>
      <c r="AL45" s="7">
        <f t="shared" si="1"/>
        <v>-0.14491500000000102</v>
      </c>
    </row>
    <row r="46" spans="1:38" x14ac:dyDescent="0.3">
      <c r="A46">
        <v>44</v>
      </c>
      <c r="B46">
        <v>43</v>
      </c>
      <c r="C46">
        <v>44</v>
      </c>
      <c r="D46">
        <v>1</v>
      </c>
      <c r="E46">
        <v>2147483647</v>
      </c>
      <c r="F46">
        <v>0.91</v>
      </c>
      <c r="G46">
        <v>1</v>
      </c>
      <c r="H46">
        <v>0.90994799999999998</v>
      </c>
      <c r="I46">
        <v>0.90994799999999998</v>
      </c>
      <c r="J46">
        <v>0</v>
      </c>
      <c r="K46">
        <v>0</v>
      </c>
      <c r="L46">
        <v>2.1854514626884902</v>
      </c>
      <c r="M46">
        <v>7.3490424479752898E-3</v>
      </c>
      <c r="N46">
        <v>2.9505469991092901</v>
      </c>
      <c r="O46">
        <v>7.8485655972182801E-3</v>
      </c>
      <c r="P46">
        <v>0.765095536420904</v>
      </c>
      <c r="Q46" s="2">
        <v>9.4507292757969896E-4</v>
      </c>
      <c r="R46">
        <v>2.243941</v>
      </c>
      <c r="S46">
        <v>7.52346950785394E-3</v>
      </c>
      <c r="T46">
        <v>3.020934</v>
      </c>
      <c r="U46">
        <v>8.0245032205084194E-3</v>
      </c>
      <c r="V46">
        <v>0.77699300000000004</v>
      </c>
      <c r="W46" s="2">
        <v>1.07222241105073E-3</v>
      </c>
      <c r="X46">
        <v>0.90994799999999998</v>
      </c>
      <c r="Y46">
        <v>2.9486682303328702</v>
      </c>
      <c r="Z46">
        <v>3.9479372133690198</v>
      </c>
      <c r="AA46">
        <v>0.79380799999999996</v>
      </c>
      <c r="AB46">
        <v>2.6023006605318399</v>
      </c>
      <c r="AC46">
        <v>3.6008668041887599</v>
      </c>
      <c r="AD46">
        <v>0.76554699999999998</v>
      </c>
      <c r="AE46">
        <v>2.6768308462435702</v>
      </c>
      <c r="AF46">
        <v>3.6709079036140202</v>
      </c>
      <c r="AH46" s="7">
        <f>SBC!D45</f>
        <v>0.9</v>
      </c>
      <c r="AI46" s="7">
        <f t="shared" si="2"/>
        <v>18.600000000000001</v>
      </c>
      <c r="AJ46" s="7">
        <f t="shared" si="0"/>
        <v>0.76554699999999998</v>
      </c>
      <c r="AK46" s="7">
        <f t="shared" si="3"/>
        <v>18.320632000000003</v>
      </c>
      <c r="AL46" s="7">
        <f t="shared" si="1"/>
        <v>-0.27936799999999806</v>
      </c>
    </row>
    <row r="47" spans="1:38" x14ac:dyDescent="0.3">
      <c r="A47">
        <v>45</v>
      </c>
      <c r="B47">
        <v>44</v>
      </c>
      <c r="C47">
        <v>45</v>
      </c>
      <c r="D47">
        <v>1</v>
      </c>
      <c r="E47">
        <v>2147483647</v>
      </c>
      <c r="F47">
        <v>0.64</v>
      </c>
      <c r="G47">
        <v>1</v>
      </c>
      <c r="H47">
        <v>0.63909199999999999</v>
      </c>
      <c r="I47">
        <v>0.63909199999999999</v>
      </c>
      <c r="J47">
        <v>0</v>
      </c>
      <c r="K47">
        <v>0</v>
      </c>
      <c r="L47">
        <v>2.1964563316398</v>
      </c>
      <c r="M47">
        <v>7.4255449317156197E-3</v>
      </c>
      <c r="N47">
        <v>2.95723851792</v>
      </c>
      <c r="O47">
        <v>7.9352737463437E-3</v>
      </c>
      <c r="P47">
        <v>0.760782186280345</v>
      </c>
      <c r="Q47" s="2">
        <v>9.7120576384141899E-4</v>
      </c>
      <c r="R47">
        <v>2.1499100000000002</v>
      </c>
      <c r="S47">
        <v>7.47714709624543E-3</v>
      </c>
      <c r="T47">
        <v>2.898037</v>
      </c>
      <c r="U47">
        <v>8.0214469984394594E-3</v>
      </c>
      <c r="V47">
        <v>0.74812699999999999</v>
      </c>
      <c r="W47" s="2">
        <v>1.11813837126053E-3</v>
      </c>
      <c r="X47">
        <v>0.63909199999999999</v>
      </c>
      <c r="Y47">
        <v>2.9589750308639302</v>
      </c>
      <c r="Z47">
        <v>3.9583738894206402</v>
      </c>
      <c r="AA47">
        <v>0.73312299999999997</v>
      </c>
      <c r="AB47">
        <v>2.83932751023799</v>
      </c>
      <c r="AC47">
        <v>3.8400217958382998</v>
      </c>
      <c r="AD47">
        <v>0.76198900000000003</v>
      </c>
      <c r="AE47">
        <v>2.7060564083732599</v>
      </c>
      <c r="AF47">
        <v>3.7102844036453702</v>
      </c>
      <c r="AH47" s="7">
        <f>SBC!D46</f>
        <v>0.65</v>
      </c>
      <c r="AI47" s="7">
        <f t="shared" si="2"/>
        <v>19.25</v>
      </c>
      <c r="AJ47" s="7">
        <f t="shared" si="0"/>
        <v>0.76198900000000003</v>
      </c>
      <c r="AK47" s="7">
        <f t="shared" si="3"/>
        <v>19.082621000000003</v>
      </c>
      <c r="AL47" s="7">
        <f t="shared" si="1"/>
        <v>-0.16737899999999684</v>
      </c>
    </row>
    <row r="48" spans="1:38" x14ac:dyDescent="0.3">
      <c r="A48">
        <v>46</v>
      </c>
      <c r="B48">
        <v>45</v>
      </c>
      <c r="C48">
        <v>46</v>
      </c>
      <c r="D48">
        <v>1</v>
      </c>
      <c r="E48">
        <v>2147483647</v>
      </c>
      <c r="F48">
        <v>0.91</v>
      </c>
      <c r="G48">
        <v>1</v>
      </c>
      <c r="H48">
        <v>0.91015100000000004</v>
      </c>
      <c r="I48">
        <v>0.91015100000000004</v>
      </c>
      <c r="J48">
        <v>0</v>
      </c>
      <c r="K48">
        <v>0</v>
      </c>
      <c r="L48">
        <v>2.2072741877828199</v>
      </c>
      <c r="M48">
        <v>7.4688345890294803E-3</v>
      </c>
      <c r="N48">
        <v>2.9726198157224499</v>
      </c>
      <c r="O48">
        <v>7.9646461630702298E-3</v>
      </c>
      <c r="P48">
        <v>0.76534562793959404</v>
      </c>
      <c r="Q48" s="2">
        <v>9.4471534515365202E-4</v>
      </c>
      <c r="R48">
        <v>2.265676</v>
      </c>
      <c r="S48">
        <v>7.6395285685030897E-3</v>
      </c>
      <c r="T48">
        <v>3.0434350000000001</v>
      </c>
      <c r="U48">
        <v>8.1357805668710505E-3</v>
      </c>
      <c r="V48">
        <v>0.77775899999999998</v>
      </c>
      <c r="W48" s="2">
        <v>1.07090684262708E-3</v>
      </c>
      <c r="X48">
        <v>0.91015100000000004</v>
      </c>
      <c r="Y48">
        <v>2.97009059234257</v>
      </c>
      <c r="Z48">
        <v>3.9707273010130102</v>
      </c>
      <c r="AA48">
        <v>0.79438500000000001</v>
      </c>
      <c r="AB48">
        <v>2.6330357182586499</v>
      </c>
      <c r="AC48">
        <v>3.6330731164022501</v>
      </c>
      <c r="AD48">
        <v>0.76475300000000002</v>
      </c>
      <c r="AE48">
        <v>2.7130152709548399</v>
      </c>
      <c r="AF48">
        <v>3.7083750206127601</v>
      </c>
      <c r="AH48" s="7">
        <f>SBC!D47</f>
        <v>0.9</v>
      </c>
      <c r="AI48" s="7">
        <f t="shared" si="2"/>
        <v>20.149999999999999</v>
      </c>
      <c r="AJ48" s="7">
        <f t="shared" si="0"/>
        <v>0.76475300000000002</v>
      </c>
      <c r="AK48" s="7">
        <f t="shared" si="3"/>
        <v>19.847374000000002</v>
      </c>
      <c r="AL48" s="7">
        <f t="shared" si="1"/>
        <v>-0.30262599999999651</v>
      </c>
    </row>
    <row r="49" spans="1:38" x14ac:dyDescent="0.3">
      <c r="A49">
        <v>47</v>
      </c>
      <c r="B49">
        <v>46</v>
      </c>
      <c r="C49">
        <v>47</v>
      </c>
      <c r="D49">
        <v>1</v>
      </c>
      <c r="E49">
        <v>2147483647</v>
      </c>
      <c r="F49">
        <v>0.64</v>
      </c>
      <c r="G49">
        <v>1</v>
      </c>
      <c r="H49">
        <v>0.63954299999999997</v>
      </c>
      <c r="I49">
        <v>0.63954299999999997</v>
      </c>
      <c r="J49">
        <v>0</v>
      </c>
      <c r="K49">
        <v>0</v>
      </c>
      <c r="L49">
        <v>2.21852453452499</v>
      </c>
      <c r="M49">
        <v>7.5385814318971499E-3</v>
      </c>
      <c r="N49">
        <v>2.9803310233451499</v>
      </c>
      <c r="O49">
        <v>8.0434678060485893E-3</v>
      </c>
      <c r="P49">
        <v>0.761806488820164</v>
      </c>
      <c r="Q49" s="2">
        <v>9.6969877853269205E-4</v>
      </c>
      <c r="R49">
        <v>2.1721810000000001</v>
      </c>
      <c r="S49">
        <v>7.5854086989870402E-3</v>
      </c>
      <c r="T49">
        <v>2.9209399999999999</v>
      </c>
      <c r="U49">
        <v>8.1257888365729898E-3</v>
      </c>
      <c r="V49">
        <v>0.74875899999999995</v>
      </c>
      <c r="W49" s="2">
        <v>1.11720626911695E-3</v>
      </c>
      <c r="X49">
        <v>0.63954299999999997</v>
      </c>
      <c r="Y49">
        <v>2.9793006331018099</v>
      </c>
      <c r="Z49">
        <v>3.9805767557869798</v>
      </c>
      <c r="AA49">
        <v>0.73303799999999997</v>
      </c>
      <c r="AB49">
        <v>2.8895724194744301</v>
      </c>
      <c r="AC49">
        <v>3.8908650678552199</v>
      </c>
      <c r="AD49">
        <v>0.76203799999999999</v>
      </c>
      <c r="AE49">
        <v>2.7567672488458399</v>
      </c>
      <c r="AF49">
        <v>3.7598597843542998</v>
      </c>
      <c r="AH49" s="7">
        <f>SBC!D48</f>
        <v>0.65</v>
      </c>
      <c r="AI49" s="7">
        <f t="shared" si="2"/>
        <v>20.799999999999997</v>
      </c>
      <c r="AJ49" s="7">
        <f t="shared" si="0"/>
        <v>0.76203799999999999</v>
      </c>
      <c r="AK49" s="7">
        <f t="shared" si="3"/>
        <v>20.609412000000003</v>
      </c>
      <c r="AL49" s="7">
        <f t="shared" si="1"/>
        <v>-0.19058799999999465</v>
      </c>
    </row>
    <row r="50" spans="1:38" x14ac:dyDescent="0.3">
      <c r="A50">
        <v>48</v>
      </c>
      <c r="B50">
        <v>47</v>
      </c>
      <c r="C50">
        <v>48</v>
      </c>
      <c r="D50">
        <v>1</v>
      </c>
      <c r="E50">
        <v>2147483647</v>
      </c>
      <c r="F50">
        <v>0.91</v>
      </c>
      <c r="G50">
        <v>1</v>
      </c>
      <c r="H50">
        <v>0.90982099999999999</v>
      </c>
      <c r="I50">
        <v>0.90982099999999999</v>
      </c>
      <c r="J50">
        <v>0</v>
      </c>
      <c r="K50">
        <v>0</v>
      </c>
      <c r="L50">
        <v>2.2301015731102698</v>
      </c>
      <c r="M50">
        <v>7.5764076067793996E-3</v>
      </c>
      <c r="N50">
        <v>2.9962282151964201</v>
      </c>
      <c r="O50">
        <v>8.0685630080099199E-3</v>
      </c>
      <c r="P50">
        <v>0.76612664208611603</v>
      </c>
      <c r="Q50" s="2">
        <v>9.4414227343387301E-4</v>
      </c>
      <c r="R50">
        <v>2.2873890000000001</v>
      </c>
      <c r="S50">
        <v>7.7407731629363001E-3</v>
      </c>
      <c r="T50">
        <v>3.0657709999999998</v>
      </c>
      <c r="U50">
        <v>8.2335243133442801E-3</v>
      </c>
      <c r="V50">
        <v>0.77838200000000002</v>
      </c>
      <c r="W50" s="2">
        <v>1.0698329935987399E-3</v>
      </c>
      <c r="X50">
        <v>0.90982099999999999</v>
      </c>
      <c r="Y50">
        <v>2.99636222655375</v>
      </c>
      <c r="Z50">
        <v>3.99613632024993</v>
      </c>
      <c r="AA50">
        <v>0.79461300000000001</v>
      </c>
      <c r="AB50">
        <v>2.6745989549820801</v>
      </c>
      <c r="AC50">
        <v>3.6763965868400601</v>
      </c>
      <c r="AD50">
        <v>0.76498999999999995</v>
      </c>
      <c r="AE50">
        <v>2.76059326083712</v>
      </c>
      <c r="AF50">
        <v>3.7573329328129002</v>
      </c>
      <c r="AH50" s="7">
        <f>SBC!D49</f>
        <v>0.9</v>
      </c>
      <c r="AI50" s="7">
        <f t="shared" si="2"/>
        <v>21.699999999999996</v>
      </c>
      <c r="AJ50" s="7">
        <f t="shared" si="0"/>
        <v>0.76498999999999995</v>
      </c>
      <c r="AK50" s="7">
        <f t="shared" si="3"/>
        <v>21.374402000000003</v>
      </c>
      <c r="AL50" s="7">
        <f t="shared" si="1"/>
        <v>-0.32559799999999228</v>
      </c>
    </row>
    <row r="51" spans="1:38" x14ac:dyDescent="0.3">
      <c r="A51">
        <v>49</v>
      </c>
      <c r="B51">
        <v>48</v>
      </c>
      <c r="C51">
        <v>49</v>
      </c>
      <c r="D51">
        <v>1</v>
      </c>
      <c r="E51">
        <v>2147483647</v>
      </c>
      <c r="F51">
        <v>0.64</v>
      </c>
      <c r="G51">
        <v>1</v>
      </c>
      <c r="H51">
        <v>0.63800800000000002</v>
      </c>
      <c r="I51">
        <v>0.63800800000000002</v>
      </c>
      <c r="J51">
        <v>0</v>
      </c>
      <c r="K51">
        <v>0</v>
      </c>
      <c r="L51">
        <v>2.2389442908547101</v>
      </c>
      <c r="M51">
        <v>7.6393406585508602E-3</v>
      </c>
      <c r="N51">
        <v>3.0011006698196301</v>
      </c>
      <c r="O51">
        <v>8.1411736079647599E-3</v>
      </c>
      <c r="P51">
        <v>0.76215637896486499</v>
      </c>
      <c r="Q51" s="2">
        <v>9.6884233108675104E-4</v>
      </c>
      <c r="R51">
        <v>2.1931669999999999</v>
      </c>
      <c r="S51">
        <v>7.6842222976836599E-3</v>
      </c>
      <c r="T51">
        <v>2.9427599999999998</v>
      </c>
      <c r="U51">
        <v>8.2207194053390102E-3</v>
      </c>
      <c r="V51">
        <v>0.74959299999999995</v>
      </c>
      <c r="W51" s="2">
        <v>1.11597142216358E-3</v>
      </c>
      <c r="X51">
        <v>0.63800800000000002</v>
      </c>
      <c r="Y51">
        <v>2.9995862297232798</v>
      </c>
      <c r="Z51">
        <v>3.9988447808487799</v>
      </c>
      <c r="AA51">
        <v>0.73223000000000005</v>
      </c>
      <c r="AB51">
        <v>2.9267077276412601</v>
      </c>
      <c r="AC51">
        <v>3.9276194202319501</v>
      </c>
      <c r="AD51">
        <v>0.761019</v>
      </c>
      <c r="AE51">
        <v>2.7957787454366398</v>
      </c>
      <c r="AF51">
        <v>3.8007235014903999</v>
      </c>
      <c r="AH51" s="7">
        <f>SBC!D50</f>
        <v>0.65</v>
      </c>
      <c r="AI51" s="7">
        <f t="shared" si="2"/>
        <v>22.349999999999994</v>
      </c>
      <c r="AJ51" s="7">
        <f t="shared" si="0"/>
        <v>0.761019</v>
      </c>
      <c r="AK51" s="7">
        <f t="shared" si="3"/>
        <v>22.135421000000004</v>
      </c>
      <c r="AL51" s="7">
        <f t="shared" si="1"/>
        <v>-0.21457899999998986</v>
      </c>
    </row>
    <row r="52" spans="1:38" x14ac:dyDescent="0.3">
      <c r="A52">
        <v>50</v>
      </c>
      <c r="B52">
        <v>49</v>
      </c>
      <c r="C52">
        <v>50</v>
      </c>
      <c r="D52">
        <v>1</v>
      </c>
      <c r="E52">
        <v>2147483647</v>
      </c>
      <c r="F52">
        <v>0.91</v>
      </c>
      <c r="G52">
        <v>1</v>
      </c>
      <c r="H52">
        <v>0.90840299999999996</v>
      </c>
      <c r="I52">
        <v>0.90840299999999996</v>
      </c>
      <c r="J52">
        <v>0</v>
      </c>
      <c r="K52">
        <v>0</v>
      </c>
      <c r="L52">
        <v>2.2507273199487399</v>
      </c>
      <c r="M52">
        <v>7.6747044220890201E-3</v>
      </c>
      <c r="N52">
        <v>3.01687068669706</v>
      </c>
      <c r="O52">
        <v>8.1648802166975204E-3</v>
      </c>
      <c r="P52">
        <v>0.76614336674834305</v>
      </c>
      <c r="Q52" s="2">
        <v>9.4428939830111004E-4</v>
      </c>
      <c r="R52">
        <v>2.3077489999999998</v>
      </c>
      <c r="S52">
        <v>7.8369442752795303E-3</v>
      </c>
      <c r="T52">
        <v>3.0862099999999999</v>
      </c>
      <c r="U52">
        <v>8.3274373676402499E-3</v>
      </c>
      <c r="V52">
        <v>0.77846099999999996</v>
      </c>
      <c r="W52" s="2">
        <v>1.0696965743284101E-3</v>
      </c>
      <c r="X52">
        <v>0.90840299999999996</v>
      </c>
      <c r="Y52">
        <v>3.01411155994405</v>
      </c>
      <c r="Z52">
        <v>4.01526526373849</v>
      </c>
      <c r="AA52">
        <v>0.793821</v>
      </c>
      <c r="AB52">
        <v>2.7042325961432798</v>
      </c>
      <c r="AC52">
        <v>3.7055739311843698</v>
      </c>
      <c r="AD52">
        <v>0.76495299999999999</v>
      </c>
      <c r="AE52">
        <v>2.7910301484083</v>
      </c>
      <c r="AF52">
        <v>3.7865515559431402</v>
      </c>
      <c r="AH52" s="7">
        <f>SBC!D51</f>
        <v>0.9</v>
      </c>
      <c r="AI52" s="7">
        <f t="shared" si="2"/>
        <v>23.249999999999993</v>
      </c>
      <c r="AJ52" s="7">
        <f t="shared" si="0"/>
        <v>0.76495299999999999</v>
      </c>
      <c r="AK52" s="7">
        <f t="shared" si="3"/>
        <v>22.900374000000003</v>
      </c>
      <c r="AL52" s="7">
        <f t="shared" si="1"/>
        <v>-0.34962599999999</v>
      </c>
    </row>
    <row r="53" spans="1:38" x14ac:dyDescent="0.3">
      <c r="A53">
        <v>51</v>
      </c>
      <c r="B53">
        <v>50</v>
      </c>
      <c r="C53">
        <v>51</v>
      </c>
      <c r="D53">
        <v>1</v>
      </c>
      <c r="E53">
        <v>2147483647</v>
      </c>
      <c r="F53">
        <v>0.64</v>
      </c>
      <c r="G53">
        <v>1</v>
      </c>
      <c r="H53">
        <v>0.63907700000000001</v>
      </c>
      <c r="I53">
        <v>0.63907700000000001</v>
      </c>
      <c r="J53">
        <v>0</v>
      </c>
      <c r="K53">
        <v>0</v>
      </c>
      <c r="L53">
        <v>2.2595497185429898</v>
      </c>
      <c r="M53">
        <v>7.7341833417990504E-3</v>
      </c>
      <c r="N53">
        <v>3.0216728582957999</v>
      </c>
      <c r="O53">
        <v>8.2343536708473306E-3</v>
      </c>
      <c r="P53">
        <v>0.76212313975288803</v>
      </c>
      <c r="Q53" s="2">
        <v>9.6947805292926E-4</v>
      </c>
      <c r="R53">
        <v>2.2124679999999999</v>
      </c>
      <c r="S53">
        <v>7.7766028683875403E-3</v>
      </c>
      <c r="T53">
        <v>2.9618250000000002</v>
      </c>
      <c r="U53">
        <v>8.3114590596532496E-3</v>
      </c>
      <c r="V53">
        <v>0.74935700000000005</v>
      </c>
      <c r="W53" s="2">
        <v>1.11632140925333E-3</v>
      </c>
      <c r="X53">
        <v>0.63907700000000001</v>
      </c>
      <c r="Y53">
        <v>3.0241488588625001</v>
      </c>
      <c r="Z53">
        <v>4.0243772274260703</v>
      </c>
      <c r="AA53">
        <v>0.73435799999999996</v>
      </c>
      <c r="AB53">
        <v>2.96915012186814</v>
      </c>
      <c r="AC53">
        <v>3.9679844302102301</v>
      </c>
      <c r="AD53">
        <v>0.76346199999999997</v>
      </c>
      <c r="AE53">
        <v>2.8342122573309099</v>
      </c>
      <c r="AF53">
        <v>3.8400826944954698</v>
      </c>
      <c r="AH53" s="7">
        <f>SBC!D52</f>
        <v>0.65</v>
      </c>
      <c r="AI53" s="7">
        <f t="shared" si="2"/>
        <v>23.899999999999991</v>
      </c>
      <c r="AJ53" s="7">
        <f t="shared" si="0"/>
        <v>0.76346199999999997</v>
      </c>
      <c r="AK53" s="7">
        <f t="shared" si="3"/>
        <v>23.663836000000003</v>
      </c>
      <c r="AL53" s="7">
        <f t="shared" si="1"/>
        <v>-0.23616399999998805</v>
      </c>
    </row>
    <row r="54" spans="1:38" x14ac:dyDescent="0.3">
      <c r="A54">
        <v>52</v>
      </c>
      <c r="B54">
        <v>51</v>
      </c>
      <c r="C54">
        <v>52</v>
      </c>
      <c r="D54">
        <v>1</v>
      </c>
      <c r="E54">
        <v>2147483647</v>
      </c>
      <c r="F54">
        <v>0.91</v>
      </c>
      <c r="G54">
        <v>1</v>
      </c>
      <c r="H54">
        <v>0.91036499999999998</v>
      </c>
      <c r="I54">
        <v>0.91036499999999998</v>
      </c>
      <c r="J54">
        <v>0</v>
      </c>
      <c r="K54">
        <v>0</v>
      </c>
      <c r="L54">
        <v>2.2697960153874401</v>
      </c>
      <c r="M54">
        <v>7.7624763753503696E-3</v>
      </c>
      <c r="N54">
        <v>3.0361220376562899</v>
      </c>
      <c r="O54">
        <v>8.2505415713632398E-3</v>
      </c>
      <c r="P54">
        <v>0.76632602226896895</v>
      </c>
      <c r="Q54" s="2">
        <v>9.4388888318190905E-4</v>
      </c>
      <c r="R54">
        <v>2.3277130000000001</v>
      </c>
      <c r="S54">
        <v>7.9225186807006694E-3</v>
      </c>
      <c r="T54">
        <v>3.1059969999999999</v>
      </c>
      <c r="U54">
        <v>8.4118743772549198E-3</v>
      </c>
      <c r="V54">
        <v>0.77828399999999998</v>
      </c>
      <c r="W54" s="2">
        <v>1.0700021446169499E-3</v>
      </c>
      <c r="X54">
        <v>0.91036499999999998</v>
      </c>
      <c r="Y54">
        <v>3.0357112499035299</v>
      </c>
      <c r="Z54">
        <v>4.03556498741706</v>
      </c>
      <c r="AA54">
        <v>0.79512000000000005</v>
      </c>
      <c r="AB54">
        <v>2.7411302189461</v>
      </c>
      <c r="AC54">
        <v>3.7405136816011</v>
      </c>
      <c r="AD54">
        <v>0.76619300000000001</v>
      </c>
      <c r="AE54">
        <v>2.8332911261230498</v>
      </c>
      <c r="AF54">
        <v>3.8255617110284601</v>
      </c>
      <c r="AH54" s="7">
        <f>SBC!D53</f>
        <v>0.9</v>
      </c>
      <c r="AI54" s="7">
        <f t="shared" si="2"/>
        <v>24.79999999999999</v>
      </c>
      <c r="AJ54" s="7">
        <f t="shared" si="0"/>
        <v>0.76619300000000001</v>
      </c>
      <c r="AK54" s="7">
        <f t="shared" si="3"/>
        <v>24.430029000000005</v>
      </c>
      <c r="AL54" s="7">
        <f t="shared" si="1"/>
        <v>-0.36997099999998539</v>
      </c>
    </row>
    <row r="55" spans="1:38" x14ac:dyDescent="0.3">
      <c r="A55">
        <v>53</v>
      </c>
      <c r="B55">
        <v>52</v>
      </c>
      <c r="C55">
        <v>53</v>
      </c>
      <c r="D55">
        <v>1</v>
      </c>
      <c r="E55">
        <v>2147483647</v>
      </c>
      <c r="F55">
        <v>0.64</v>
      </c>
      <c r="G55">
        <v>1</v>
      </c>
      <c r="H55">
        <v>0.637984</v>
      </c>
      <c r="I55">
        <v>0.637984</v>
      </c>
      <c r="J55">
        <v>0</v>
      </c>
      <c r="K55">
        <v>0</v>
      </c>
      <c r="L55">
        <v>2.2792258609448899</v>
      </c>
      <c r="M55">
        <v>7.8234998718719195E-3</v>
      </c>
      <c r="N55">
        <v>3.0420912308683201</v>
      </c>
      <c r="O55">
        <v>8.3206097413464596E-3</v>
      </c>
      <c r="P55">
        <v>0.76286536992345699</v>
      </c>
      <c r="Q55" s="2">
        <v>9.6842537381775699E-4</v>
      </c>
      <c r="R55">
        <v>2.2309380000000001</v>
      </c>
      <c r="S55">
        <v>7.8652590913045398E-3</v>
      </c>
      <c r="T55">
        <v>2.981185</v>
      </c>
      <c r="U55">
        <v>8.3963821458380092E-3</v>
      </c>
      <c r="V55">
        <v>0.750247</v>
      </c>
      <c r="W55" s="2">
        <v>1.1149992368485501E-3</v>
      </c>
      <c r="X55">
        <v>0.637984</v>
      </c>
      <c r="Y55">
        <v>3.0374582227251001</v>
      </c>
      <c r="Z55">
        <v>4.0364363883502499</v>
      </c>
      <c r="AA55">
        <v>0.73475900000000005</v>
      </c>
      <c r="AB55">
        <v>2.9796526207080101</v>
      </c>
      <c r="AC55">
        <v>3.9800479746261699</v>
      </c>
      <c r="AD55">
        <v>0.76279600000000003</v>
      </c>
      <c r="AE55">
        <v>2.8501955771837202</v>
      </c>
      <c r="AF55">
        <v>3.8560107993534398</v>
      </c>
      <c r="AH55" s="7">
        <f>SBC!D54</f>
        <v>0.65</v>
      </c>
      <c r="AI55" s="7">
        <f t="shared" si="2"/>
        <v>25.449999999999989</v>
      </c>
      <c r="AJ55" s="7">
        <f t="shared" si="0"/>
        <v>0.76279600000000003</v>
      </c>
      <c r="AK55" s="7">
        <f t="shared" si="3"/>
        <v>25.192825000000006</v>
      </c>
      <c r="AL55" s="7">
        <f t="shared" si="1"/>
        <v>-0.25717499999998239</v>
      </c>
    </row>
    <row r="56" spans="1:38" x14ac:dyDescent="0.3">
      <c r="A56">
        <v>54</v>
      </c>
      <c r="B56">
        <v>53</v>
      </c>
      <c r="C56">
        <v>54</v>
      </c>
      <c r="D56">
        <v>1</v>
      </c>
      <c r="E56">
        <v>2147483647</v>
      </c>
      <c r="F56">
        <v>0.91</v>
      </c>
      <c r="G56">
        <v>1</v>
      </c>
      <c r="H56">
        <v>0.90967500000000001</v>
      </c>
      <c r="I56">
        <v>0.90967500000000001</v>
      </c>
      <c r="J56">
        <v>0</v>
      </c>
      <c r="K56">
        <v>0</v>
      </c>
      <c r="L56">
        <v>2.2888259536348299</v>
      </c>
      <c r="M56">
        <v>7.85280153610869E-3</v>
      </c>
      <c r="N56">
        <v>3.05540758851365</v>
      </c>
      <c r="O56">
        <v>8.3387110142174193E-3</v>
      </c>
      <c r="P56">
        <v>0.76658163487882602</v>
      </c>
      <c r="Q56" s="2">
        <v>9.4360795068623802E-4</v>
      </c>
      <c r="R56">
        <v>2.346765</v>
      </c>
      <c r="S56">
        <v>8.0115136603233408E-3</v>
      </c>
      <c r="T56">
        <v>3.1256740000000001</v>
      </c>
      <c r="U56">
        <v>8.4977620020829404E-3</v>
      </c>
      <c r="V56">
        <v>0.77890899999999996</v>
      </c>
      <c r="W56" s="2">
        <v>1.06892189413971E-3</v>
      </c>
      <c r="X56">
        <v>0.90967500000000001</v>
      </c>
      <c r="Y56">
        <v>3.0582832931401001</v>
      </c>
      <c r="Z56">
        <v>4.0569421392335299</v>
      </c>
      <c r="AA56">
        <v>0.793848</v>
      </c>
      <c r="AB56">
        <v>2.7679719568519601</v>
      </c>
      <c r="AC56">
        <v>3.7677499219357302</v>
      </c>
      <c r="AD56">
        <v>0.76518600000000003</v>
      </c>
      <c r="AE56">
        <v>2.8586816496103502</v>
      </c>
      <c r="AF56">
        <v>3.85462626071272</v>
      </c>
      <c r="AH56" s="7">
        <f>SBC!D55</f>
        <v>0.9</v>
      </c>
      <c r="AI56" s="7">
        <f t="shared" si="2"/>
        <v>26.349999999999987</v>
      </c>
      <c r="AJ56" s="7">
        <f t="shared" si="0"/>
        <v>0.76518600000000003</v>
      </c>
      <c r="AK56" s="7">
        <f t="shared" si="3"/>
        <v>25.958011000000006</v>
      </c>
      <c r="AL56" s="7">
        <f t="shared" si="1"/>
        <v>-0.39198899999998105</v>
      </c>
    </row>
    <row r="57" spans="1:38" x14ac:dyDescent="0.3">
      <c r="A57">
        <v>55</v>
      </c>
      <c r="B57">
        <v>54</v>
      </c>
      <c r="C57">
        <v>55</v>
      </c>
      <c r="D57">
        <v>1</v>
      </c>
      <c r="E57">
        <v>2147483647</v>
      </c>
      <c r="F57">
        <v>0.64</v>
      </c>
      <c r="G57">
        <v>1</v>
      </c>
      <c r="H57">
        <v>0.63897300000000001</v>
      </c>
      <c r="I57">
        <v>0.63897300000000001</v>
      </c>
      <c r="J57">
        <v>0</v>
      </c>
      <c r="K57">
        <v>0</v>
      </c>
      <c r="L57">
        <v>2.2976148341890701</v>
      </c>
      <c r="M57">
        <v>7.9109042186427808E-3</v>
      </c>
      <c r="N57">
        <v>3.0605092455265801</v>
      </c>
      <c r="O57">
        <v>8.4061863225208897E-3</v>
      </c>
      <c r="P57">
        <v>0.762894411337527</v>
      </c>
      <c r="Q57" s="2">
        <v>9.6833942769820002E-4</v>
      </c>
      <c r="R57">
        <v>2.2501690000000001</v>
      </c>
      <c r="S57">
        <v>7.95184767492489E-3</v>
      </c>
      <c r="T57">
        <v>3.0004810000000002</v>
      </c>
      <c r="U57">
        <v>8.4811786974781297E-3</v>
      </c>
      <c r="V57">
        <v>0.75031199999999998</v>
      </c>
      <c r="W57" s="2">
        <v>1.1149024275488599E-3</v>
      </c>
      <c r="X57">
        <v>0.63897300000000001</v>
      </c>
      <c r="Y57">
        <v>3.0602952717514702</v>
      </c>
      <c r="Z57">
        <v>4.0624595166991302</v>
      </c>
      <c r="AA57">
        <v>0.73556900000000003</v>
      </c>
      <c r="AB57">
        <v>3.0167580021457598</v>
      </c>
      <c r="AC57">
        <v>4.0151536663762597</v>
      </c>
      <c r="AD57">
        <v>0.76416600000000001</v>
      </c>
      <c r="AE57">
        <v>2.8888948329645801</v>
      </c>
      <c r="AF57">
        <v>3.8937390464881001</v>
      </c>
      <c r="AH57" s="7">
        <f>SBC!D56</f>
        <v>0.65</v>
      </c>
      <c r="AI57" s="7">
        <f t="shared" si="2"/>
        <v>26.999999999999986</v>
      </c>
      <c r="AJ57" s="7">
        <f t="shared" si="0"/>
        <v>0.76416600000000001</v>
      </c>
      <c r="AK57" s="7">
        <f t="shared" si="3"/>
        <v>26.722177000000006</v>
      </c>
      <c r="AL57" s="7">
        <f t="shared" si="1"/>
        <v>-0.27782299999998017</v>
      </c>
    </row>
    <row r="58" spans="1:38" x14ac:dyDescent="0.3">
      <c r="A58">
        <v>56</v>
      </c>
      <c r="B58">
        <v>55</v>
      </c>
      <c r="C58">
        <v>56</v>
      </c>
      <c r="D58">
        <v>1</v>
      </c>
      <c r="E58">
        <v>2147483647</v>
      </c>
      <c r="F58">
        <v>0.91</v>
      </c>
      <c r="G58">
        <v>1</v>
      </c>
      <c r="H58">
        <v>0.91056700000000002</v>
      </c>
      <c r="I58">
        <v>0.91056700000000002</v>
      </c>
      <c r="J58">
        <v>0</v>
      </c>
      <c r="K58">
        <v>0</v>
      </c>
      <c r="L58">
        <v>2.3073269277337598</v>
      </c>
      <c r="M58">
        <v>7.9395764704317598E-3</v>
      </c>
      <c r="N58">
        <v>3.0744005124399099</v>
      </c>
      <c r="O58">
        <v>8.4228970427982601E-3</v>
      </c>
      <c r="P58">
        <v>0.767073584706226</v>
      </c>
      <c r="Q58" s="2">
        <v>9.4303174077974396E-4</v>
      </c>
      <c r="R58">
        <v>2.3655249999999999</v>
      </c>
      <c r="S58">
        <v>8.0975841022896001E-3</v>
      </c>
      <c r="T58">
        <v>3.1444429999999999</v>
      </c>
      <c r="U58">
        <v>8.5821442002139703E-3</v>
      </c>
      <c r="V58">
        <v>0.778918</v>
      </c>
      <c r="W58" s="2">
        <v>1.06890631285021E-3</v>
      </c>
      <c r="X58">
        <v>0.91056700000000002</v>
      </c>
      <c r="Y58">
        <v>3.0771437242816901</v>
      </c>
      <c r="Z58">
        <v>4.0787605121646697</v>
      </c>
      <c r="AA58">
        <v>0.795211</v>
      </c>
      <c r="AB58">
        <v>2.7919085169823799</v>
      </c>
      <c r="AC58">
        <v>3.7923691741879502</v>
      </c>
      <c r="AD58">
        <v>0.76660499999999998</v>
      </c>
      <c r="AE58">
        <v>2.8830574185230602</v>
      </c>
      <c r="AF58">
        <v>3.8784422568189298</v>
      </c>
      <c r="AH58" s="7">
        <f>SBC!D57</f>
        <v>0.9</v>
      </c>
      <c r="AI58" s="7">
        <f t="shared" si="2"/>
        <v>27.899999999999984</v>
      </c>
      <c r="AJ58" s="7">
        <f t="shared" si="0"/>
        <v>0.76660499999999998</v>
      </c>
      <c r="AK58" s="7">
        <f t="shared" si="3"/>
        <v>27.488782000000004</v>
      </c>
      <c r="AL58" s="7">
        <f t="shared" si="1"/>
        <v>-0.41121799999998032</v>
      </c>
    </row>
    <row r="59" spans="1:38" x14ac:dyDescent="0.3">
      <c r="A59">
        <v>57</v>
      </c>
      <c r="B59">
        <v>56</v>
      </c>
      <c r="C59">
        <v>57</v>
      </c>
      <c r="D59">
        <v>1</v>
      </c>
      <c r="E59">
        <v>2147483647</v>
      </c>
      <c r="F59">
        <v>0.64</v>
      </c>
      <c r="G59">
        <v>1</v>
      </c>
      <c r="H59">
        <v>0.64078400000000002</v>
      </c>
      <c r="I59">
        <v>0.64078400000000002</v>
      </c>
      <c r="J59">
        <v>0</v>
      </c>
      <c r="K59">
        <v>0</v>
      </c>
      <c r="L59">
        <v>2.3173915363039601</v>
      </c>
      <c r="M59">
        <v>7.9957769265125295E-3</v>
      </c>
      <c r="N59">
        <v>3.0808026163207498</v>
      </c>
      <c r="O59">
        <v>8.4888239621868106E-3</v>
      </c>
      <c r="P59">
        <v>0.76341108001681202</v>
      </c>
      <c r="Q59" s="2">
        <v>9.68076389177138E-4</v>
      </c>
      <c r="R59">
        <v>2.2705380000000002</v>
      </c>
      <c r="S59">
        <v>8.0332386427249599E-3</v>
      </c>
      <c r="T59">
        <v>3.0216789999999998</v>
      </c>
      <c r="U59">
        <v>8.5598590495172093E-3</v>
      </c>
      <c r="V59">
        <v>0.75114099999999995</v>
      </c>
      <c r="W59" s="2">
        <v>1.11366479083015E-3</v>
      </c>
      <c r="X59">
        <v>0.64078400000000002</v>
      </c>
      <c r="Y59">
        <v>3.0799939689420301</v>
      </c>
      <c r="Z59">
        <v>4.08050435759111</v>
      </c>
      <c r="AA59">
        <v>0.73577099999999995</v>
      </c>
      <c r="AB59">
        <v>3.0406845790085799</v>
      </c>
      <c r="AC59">
        <v>4.0418214509094401</v>
      </c>
      <c r="AD59">
        <v>0.763548</v>
      </c>
      <c r="AE59">
        <v>2.91085527329294</v>
      </c>
      <c r="AF59">
        <v>3.91787409485238</v>
      </c>
      <c r="AH59" s="7">
        <f>SBC!D58</f>
        <v>0.65</v>
      </c>
      <c r="AI59" s="7">
        <f t="shared" si="2"/>
        <v>28.549999999999983</v>
      </c>
      <c r="AJ59" s="7">
        <f t="shared" si="0"/>
        <v>0.763548</v>
      </c>
      <c r="AK59" s="7">
        <f t="shared" si="3"/>
        <v>28.252330000000004</v>
      </c>
      <c r="AL59" s="7">
        <f t="shared" si="1"/>
        <v>-0.29766999999997878</v>
      </c>
    </row>
    <row r="60" spans="1:38" x14ac:dyDescent="0.3">
      <c r="A60">
        <v>58</v>
      </c>
      <c r="B60">
        <v>57</v>
      </c>
      <c r="C60">
        <v>58</v>
      </c>
      <c r="D60">
        <v>1</v>
      </c>
      <c r="E60">
        <v>2147483647</v>
      </c>
      <c r="F60">
        <v>0.91</v>
      </c>
      <c r="G60">
        <v>1</v>
      </c>
      <c r="H60">
        <v>0.91029000000000004</v>
      </c>
      <c r="I60">
        <v>0.91029000000000004</v>
      </c>
      <c r="J60">
        <v>0</v>
      </c>
      <c r="K60">
        <v>0</v>
      </c>
      <c r="L60">
        <v>2.3267973650674598</v>
      </c>
      <c r="M60">
        <v>8.0174740570975508E-3</v>
      </c>
      <c r="N60">
        <v>3.0946615121617098</v>
      </c>
      <c r="O60">
        <v>8.4984239574596096E-3</v>
      </c>
      <c r="P60">
        <v>0.76786414709419004</v>
      </c>
      <c r="Q60" s="2">
        <v>9.4189923504852801E-4</v>
      </c>
      <c r="R60">
        <v>2.3842089999999998</v>
      </c>
      <c r="S60">
        <v>8.1687870693570794E-3</v>
      </c>
      <c r="T60">
        <v>3.164641</v>
      </c>
      <c r="U60">
        <v>8.6494339568337301E-3</v>
      </c>
      <c r="V60">
        <v>0.78043200000000001</v>
      </c>
      <c r="W60" s="2">
        <v>1.06627477899394E-3</v>
      </c>
      <c r="X60">
        <v>0.91029000000000004</v>
      </c>
      <c r="Y60">
        <v>3.09543691610746</v>
      </c>
      <c r="Z60">
        <v>4.0962149809787798</v>
      </c>
      <c r="AA60">
        <v>0.79661899999999997</v>
      </c>
      <c r="AB60">
        <v>2.8211078394858</v>
      </c>
      <c r="AC60">
        <v>3.8218920042821201</v>
      </c>
      <c r="AD60">
        <v>0.76732800000000001</v>
      </c>
      <c r="AE60">
        <v>2.9170990115844</v>
      </c>
      <c r="AF60">
        <v>3.9105727248761801</v>
      </c>
      <c r="AH60" s="7">
        <f>SBC!D59</f>
        <v>0.9</v>
      </c>
      <c r="AI60" s="7">
        <f t="shared" si="2"/>
        <v>29.449999999999982</v>
      </c>
      <c r="AJ60" s="7">
        <f t="shared" si="0"/>
        <v>0.76732800000000001</v>
      </c>
      <c r="AK60" s="7">
        <f t="shared" si="3"/>
        <v>29.019658000000003</v>
      </c>
      <c r="AL60" s="7">
        <f t="shared" si="1"/>
        <v>-0.43034199999997824</v>
      </c>
    </row>
    <row r="61" spans="1:38" x14ac:dyDescent="0.3">
      <c r="A61">
        <v>59</v>
      </c>
      <c r="B61">
        <v>58</v>
      </c>
      <c r="C61">
        <v>59</v>
      </c>
      <c r="D61">
        <v>1</v>
      </c>
      <c r="E61">
        <v>2147483647</v>
      </c>
      <c r="F61">
        <v>0.64</v>
      </c>
      <c r="G61">
        <v>1</v>
      </c>
      <c r="H61">
        <v>0.64016399999999996</v>
      </c>
      <c r="I61">
        <v>0.64016399999999996</v>
      </c>
      <c r="J61">
        <v>0</v>
      </c>
      <c r="K61">
        <v>0</v>
      </c>
      <c r="L61">
        <v>2.33524009634576</v>
      </c>
      <c r="M61">
        <v>8.0668287997155905E-3</v>
      </c>
      <c r="N61">
        <v>3.09967398094531</v>
      </c>
      <c r="O61">
        <v>8.5569926036670203E-3</v>
      </c>
      <c r="P61">
        <v>0.76443388459966</v>
      </c>
      <c r="Q61" s="2">
        <v>9.6606621776487397E-4</v>
      </c>
      <c r="R61">
        <v>2.287347</v>
      </c>
      <c r="S61">
        <v>8.1038826812171692E-3</v>
      </c>
      <c r="T61">
        <v>3.0394359999999998</v>
      </c>
      <c r="U61">
        <v>8.6275574359789293E-3</v>
      </c>
      <c r="V61">
        <v>0.75208900000000001</v>
      </c>
      <c r="W61" s="2">
        <v>1.11224278331086E-3</v>
      </c>
      <c r="X61">
        <v>0.64016399999999996</v>
      </c>
      <c r="Y61">
        <v>3.1049440070340699</v>
      </c>
      <c r="Z61">
        <v>4.1058040214698899</v>
      </c>
      <c r="AA61">
        <v>0.73702599999999996</v>
      </c>
      <c r="AB61">
        <v>3.0704457388650801</v>
      </c>
      <c r="AC61">
        <v>4.0711354783279203</v>
      </c>
      <c r="AD61">
        <v>0.76536899999999997</v>
      </c>
      <c r="AE61">
        <v>2.9425808316614601</v>
      </c>
      <c r="AF61">
        <v>3.9462801414195501</v>
      </c>
      <c r="AH61" s="7">
        <f>SBC!D60</f>
        <v>0.65</v>
      </c>
      <c r="AI61" s="7">
        <f t="shared" si="2"/>
        <v>30.09999999999998</v>
      </c>
      <c r="AJ61" s="7">
        <f t="shared" si="0"/>
        <v>0.76536899999999997</v>
      </c>
      <c r="AK61" s="7">
        <f t="shared" si="3"/>
        <v>29.785027000000003</v>
      </c>
      <c r="AL61" s="7">
        <f t="shared" si="1"/>
        <v>-0.31497299999997708</v>
      </c>
    </row>
    <row r="62" spans="1:38" x14ac:dyDescent="0.3">
      <c r="A62">
        <v>60</v>
      </c>
      <c r="B62">
        <v>59</v>
      </c>
      <c r="C62">
        <v>60</v>
      </c>
      <c r="D62">
        <v>1</v>
      </c>
      <c r="E62">
        <v>2147483647</v>
      </c>
      <c r="F62">
        <v>0.91</v>
      </c>
      <c r="G62">
        <v>1</v>
      </c>
      <c r="H62">
        <v>0.909856</v>
      </c>
      <c r="I62">
        <v>0.909856</v>
      </c>
      <c r="J62">
        <v>0</v>
      </c>
      <c r="K62">
        <v>0</v>
      </c>
      <c r="L62">
        <v>2.3448817044797101</v>
      </c>
      <c r="M62">
        <v>8.0859217871746599E-3</v>
      </c>
      <c r="N62">
        <v>3.1133692778150199</v>
      </c>
      <c r="O62">
        <v>8.5650682727453596E-3</v>
      </c>
      <c r="P62">
        <v>0.76848757333523698</v>
      </c>
      <c r="Q62" s="2">
        <v>9.4111330235412398E-4</v>
      </c>
      <c r="R62">
        <v>2.4014150000000001</v>
      </c>
      <c r="S62">
        <v>8.2343074801616099E-3</v>
      </c>
      <c r="T62">
        <v>3.181835</v>
      </c>
      <c r="U62">
        <v>8.7142414527037696E-3</v>
      </c>
      <c r="V62">
        <v>0.78042</v>
      </c>
      <c r="W62" s="2">
        <v>1.0662957182034001E-3</v>
      </c>
      <c r="X62">
        <v>0.909856</v>
      </c>
      <c r="Y62">
        <v>3.1098283955570798</v>
      </c>
      <c r="Z62">
        <v>4.1091727359698096</v>
      </c>
      <c r="AA62">
        <v>0.79578800000000005</v>
      </c>
      <c r="AB62">
        <v>2.8476128033000001</v>
      </c>
      <c r="AC62">
        <v>3.8472654286533001</v>
      </c>
      <c r="AD62">
        <v>0.76745699999999994</v>
      </c>
      <c r="AE62">
        <v>2.9434173868542102</v>
      </c>
      <c r="AF62">
        <v>3.93574599107929</v>
      </c>
      <c r="AH62" s="7">
        <f>SBC!D61</f>
        <v>0.9</v>
      </c>
      <c r="AI62" s="7">
        <f t="shared" si="2"/>
        <v>30.999999999999979</v>
      </c>
      <c r="AJ62" s="7">
        <f t="shared" si="0"/>
        <v>0.76745699999999994</v>
      </c>
      <c r="AK62" s="7">
        <f t="shared" si="3"/>
        <v>30.552484000000003</v>
      </c>
      <c r="AL62" s="7">
        <f t="shared" si="1"/>
        <v>-0.44751599999997538</v>
      </c>
    </row>
    <row r="63" spans="1:38" x14ac:dyDescent="0.3">
      <c r="A63">
        <v>61</v>
      </c>
      <c r="B63">
        <v>60</v>
      </c>
      <c r="C63">
        <v>61</v>
      </c>
      <c r="D63">
        <v>1</v>
      </c>
      <c r="E63">
        <v>2147483647</v>
      </c>
      <c r="F63">
        <v>0.64</v>
      </c>
      <c r="G63">
        <v>1</v>
      </c>
      <c r="H63">
        <v>0.64020100000000002</v>
      </c>
      <c r="I63">
        <v>0.64020100000000002</v>
      </c>
      <c r="J63">
        <v>0</v>
      </c>
      <c r="K63">
        <v>0</v>
      </c>
      <c r="L63">
        <v>2.3532179409584799</v>
      </c>
      <c r="M63">
        <v>8.1323158691704797E-3</v>
      </c>
      <c r="N63">
        <v>3.1178349711809701</v>
      </c>
      <c r="O63">
        <v>8.6217060840207294E-3</v>
      </c>
      <c r="P63">
        <v>0.76461703022243599</v>
      </c>
      <c r="Q63" s="2">
        <v>9.6590612189904098E-4</v>
      </c>
      <c r="R63">
        <v>2.305685</v>
      </c>
      <c r="S63" s="2">
        <v>8.1677746636480003E-3</v>
      </c>
      <c r="T63">
        <v>3.0577969999999999</v>
      </c>
      <c r="U63">
        <v>8.6910253787096901E-3</v>
      </c>
      <c r="V63">
        <v>0.752112</v>
      </c>
      <c r="W63" s="2">
        <v>1.1122081939243999E-3</v>
      </c>
      <c r="X63">
        <v>0.64020100000000002</v>
      </c>
      <c r="Y63">
        <v>3.1138060043086702</v>
      </c>
      <c r="Z63">
        <v>4.1131277116901499</v>
      </c>
      <c r="AA63">
        <v>0.735931</v>
      </c>
      <c r="AB63">
        <v>3.09755539050327</v>
      </c>
      <c r="AC63">
        <v>4.0976696914616104</v>
      </c>
      <c r="AD63">
        <v>0.764239</v>
      </c>
      <c r="AE63">
        <v>2.9642201470080698</v>
      </c>
      <c r="AF63">
        <v>3.9697456726248901</v>
      </c>
      <c r="AH63" s="7">
        <f>SBC!D62</f>
        <v>0.65</v>
      </c>
      <c r="AI63" s="7">
        <f t="shared" si="2"/>
        <v>31.649999999999977</v>
      </c>
      <c r="AJ63" s="7">
        <f t="shared" si="0"/>
        <v>0.764239</v>
      </c>
      <c r="AK63" s="7">
        <f t="shared" si="3"/>
        <v>31.316723000000003</v>
      </c>
      <c r="AL63" s="7">
        <f t="shared" si="1"/>
        <v>-0.33327699999997407</v>
      </c>
    </row>
    <row r="64" spans="1:38" x14ac:dyDescent="0.3">
      <c r="A64">
        <v>62</v>
      </c>
      <c r="B64">
        <v>61</v>
      </c>
      <c r="C64">
        <v>62</v>
      </c>
      <c r="D64">
        <v>1</v>
      </c>
      <c r="E64">
        <v>2147483647</v>
      </c>
      <c r="F64">
        <v>0.91</v>
      </c>
      <c r="G64">
        <v>1</v>
      </c>
      <c r="H64">
        <v>0.90968599999999999</v>
      </c>
      <c r="I64">
        <v>0.90968599999999999</v>
      </c>
      <c r="J64">
        <v>0</v>
      </c>
      <c r="K64">
        <v>0</v>
      </c>
      <c r="L64">
        <v>2.3619365501176701</v>
      </c>
      <c r="M64" s="2">
        <v>8.1533045126811893E-3</v>
      </c>
      <c r="N64">
        <v>3.1306250628188899</v>
      </c>
      <c r="O64">
        <v>8.6313364931215608E-3</v>
      </c>
      <c r="P64">
        <v>0.76868851270120997</v>
      </c>
      <c r="Q64" s="2">
        <v>9.4113789698662895E-4</v>
      </c>
      <c r="R64">
        <v>2.417859</v>
      </c>
      <c r="S64" s="2">
        <v>8.3057458547595303E-3</v>
      </c>
      <c r="T64">
        <v>3.198569</v>
      </c>
      <c r="U64" s="2">
        <v>8.7839130606290408E-3</v>
      </c>
      <c r="V64">
        <v>0.78071000000000002</v>
      </c>
      <c r="W64" s="2">
        <v>1.0657893212053201E-3</v>
      </c>
      <c r="X64">
        <v>0.90968599999999999</v>
      </c>
      <c r="Y64">
        <v>3.1400790760596</v>
      </c>
      <c r="Z64">
        <v>4.1414444316399397</v>
      </c>
      <c r="AA64">
        <v>0.797512</v>
      </c>
      <c r="AB64">
        <v>2.8694385708914401</v>
      </c>
      <c r="AC64">
        <v>3.8699665106718601</v>
      </c>
      <c r="AD64">
        <v>0.76891399999999999</v>
      </c>
      <c r="AE64">
        <v>2.9642254510549999</v>
      </c>
      <c r="AF64">
        <v>3.9612722533521501</v>
      </c>
      <c r="AH64" s="7">
        <f>SBC!D63</f>
        <v>0.9</v>
      </c>
      <c r="AI64" s="7">
        <f t="shared" si="2"/>
        <v>32.549999999999976</v>
      </c>
      <c r="AJ64" s="7">
        <f t="shared" si="0"/>
        <v>0.76891399999999999</v>
      </c>
      <c r="AK64" s="7">
        <f t="shared" si="3"/>
        <v>32.085637000000006</v>
      </c>
      <c r="AL64" s="7">
        <f t="shared" si="1"/>
        <v>-0.46436299999997033</v>
      </c>
    </row>
    <row r="65" spans="1:38" x14ac:dyDescent="0.3">
      <c r="A65">
        <v>63</v>
      </c>
      <c r="B65">
        <v>62</v>
      </c>
      <c r="C65">
        <v>63</v>
      </c>
      <c r="D65">
        <v>1</v>
      </c>
      <c r="E65">
        <v>2147483647</v>
      </c>
      <c r="F65">
        <v>0.64</v>
      </c>
      <c r="G65">
        <v>1</v>
      </c>
      <c r="H65">
        <v>0.640706</v>
      </c>
      <c r="I65">
        <v>0.640706</v>
      </c>
      <c r="J65">
        <v>0</v>
      </c>
      <c r="K65">
        <v>0</v>
      </c>
      <c r="L65">
        <v>2.3691320179659199</v>
      </c>
      <c r="M65" s="2">
        <v>8.2033842511660196E-3</v>
      </c>
      <c r="N65">
        <v>3.1340581177959601</v>
      </c>
      <c r="O65" s="2">
        <v>8.6911136747242993E-3</v>
      </c>
      <c r="P65">
        <v>0.76492609983008297</v>
      </c>
      <c r="Q65" s="2">
        <v>9.6622939327457196E-4</v>
      </c>
      <c r="R65">
        <v>2.3214000000000001</v>
      </c>
      <c r="S65" s="2">
        <v>8.2377163757887603E-3</v>
      </c>
      <c r="T65">
        <v>3.0736319999999999</v>
      </c>
      <c r="U65" s="2">
        <v>8.7595060047665398E-3</v>
      </c>
      <c r="V65">
        <v>0.75223200000000001</v>
      </c>
      <c r="W65" s="2">
        <v>1.1120276589175299E-3</v>
      </c>
      <c r="X65">
        <v>0.640706</v>
      </c>
      <c r="Y65">
        <v>3.1395758095252799</v>
      </c>
      <c r="Z65">
        <v>4.13864063742745</v>
      </c>
      <c r="AA65">
        <v>0.73716499999999996</v>
      </c>
      <c r="AB65">
        <v>3.12835145419321</v>
      </c>
      <c r="AC65">
        <v>4.1287967446370697</v>
      </c>
      <c r="AD65">
        <v>0.76564299999999996</v>
      </c>
      <c r="AE65">
        <v>2.9966303337315798</v>
      </c>
      <c r="AF65">
        <v>4.0007487006611004</v>
      </c>
      <c r="AH65" s="7">
        <f>SBC!D64</f>
        <v>0.65</v>
      </c>
      <c r="AI65" s="7">
        <f t="shared" si="2"/>
        <v>33.199999999999974</v>
      </c>
      <c r="AJ65" s="7">
        <f t="shared" si="0"/>
        <v>0.76564299999999996</v>
      </c>
      <c r="AK65" s="7">
        <f t="shared" si="3"/>
        <v>32.851280000000003</v>
      </c>
      <c r="AL65" s="7">
        <f t="shared" si="1"/>
        <v>-0.34871999999997172</v>
      </c>
    </row>
    <row r="66" spans="1:38" x14ac:dyDescent="0.3">
      <c r="A66">
        <v>64</v>
      </c>
      <c r="B66">
        <v>63</v>
      </c>
      <c r="C66">
        <v>64</v>
      </c>
      <c r="D66">
        <v>1</v>
      </c>
      <c r="E66">
        <v>2147483647</v>
      </c>
      <c r="F66">
        <v>0.91</v>
      </c>
      <c r="G66">
        <v>1</v>
      </c>
      <c r="H66">
        <v>0.90974699999999997</v>
      </c>
      <c r="I66">
        <v>0.90974699999999997</v>
      </c>
      <c r="J66">
        <v>0</v>
      </c>
      <c r="K66">
        <v>0</v>
      </c>
      <c r="L66">
        <v>2.3778266092420601</v>
      </c>
      <c r="M66" s="2">
        <v>8.2215434671075501E-3</v>
      </c>
      <c r="N66">
        <v>3.14666312406536</v>
      </c>
      <c r="O66" s="2">
        <v>8.6984092605985192E-3</v>
      </c>
      <c r="P66">
        <v>0.76883651482329296</v>
      </c>
      <c r="Q66" s="2">
        <v>9.4104951194865297E-4</v>
      </c>
      <c r="R66">
        <v>2.4345840000000001</v>
      </c>
      <c r="S66" s="2">
        <v>8.3715414320876692E-3</v>
      </c>
      <c r="T66">
        <v>3.21549</v>
      </c>
      <c r="U66" s="2">
        <v>8.8485042025929703E-3</v>
      </c>
      <c r="V66">
        <v>0.78090599999999999</v>
      </c>
      <c r="W66" s="2">
        <v>1.06544663378029E-3</v>
      </c>
      <c r="X66">
        <v>0.90974699999999997</v>
      </c>
      <c r="Y66">
        <v>3.1529669921522401</v>
      </c>
      <c r="Z66">
        <v>4.1528516186915798</v>
      </c>
      <c r="AA66">
        <v>0.79656300000000002</v>
      </c>
      <c r="AB66">
        <v>2.8913787313599801</v>
      </c>
      <c r="AC66">
        <v>3.8912358184677101</v>
      </c>
      <c r="AD66">
        <v>0.76788900000000004</v>
      </c>
      <c r="AE66">
        <v>2.99011554909942</v>
      </c>
      <c r="AF66">
        <v>3.9836695854362998</v>
      </c>
      <c r="AH66" s="7">
        <f>SBC!D65</f>
        <v>0.9</v>
      </c>
      <c r="AI66" s="7">
        <f t="shared" si="2"/>
        <v>34.099999999999973</v>
      </c>
      <c r="AJ66" s="7">
        <f t="shared" si="0"/>
        <v>0.76788900000000004</v>
      </c>
      <c r="AK66" s="7">
        <f t="shared" si="3"/>
        <v>33.619168999999999</v>
      </c>
      <c r="AL66" s="7">
        <f t="shared" si="1"/>
        <v>-0.48083099999997359</v>
      </c>
    </row>
    <row r="67" spans="1:38" x14ac:dyDescent="0.3">
      <c r="A67">
        <v>65</v>
      </c>
      <c r="B67">
        <v>64</v>
      </c>
      <c r="C67">
        <v>65</v>
      </c>
      <c r="D67">
        <v>1</v>
      </c>
      <c r="E67">
        <v>2147483647</v>
      </c>
      <c r="F67">
        <v>0.73</v>
      </c>
      <c r="G67">
        <v>1</v>
      </c>
      <c r="H67">
        <v>0.72970999999999997</v>
      </c>
      <c r="I67">
        <v>0.72970999999999997</v>
      </c>
      <c r="J67">
        <v>0</v>
      </c>
      <c r="K67">
        <v>0</v>
      </c>
      <c r="L67">
        <v>2.4190644623820101</v>
      </c>
      <c r="M67" s="2">
        <v>8.2992734755426099E-3</v>
      </c>
      <c r="N67">
        <v>3.1922845918687401</v>
      </c>
      <c r="O67" s="2">
        <v>8.7729569173201401E-3</v>
      </c>
      <c r="P67">
        <v>0.77322012948676899</v>
      </c>
      <c r="Q67" s="2">
        <v>9.4730142723676799E-4</v>
      </c>
      <c r="R67">
        <v>2.404201</v>
      </c>
      <c r="S67" s="2">
        <v>8.3744606137483805E-3</v>
      </c>
      <c r="T67">
        <v>3.1717499999999998</v>
      </c>
      <c r="U67" s="2">
        <v>8.8730668225592002E-3</v>
      </c>
      <c r="V67">
        <v>0.76754900000000004</v>
      </c>
      <c r="W67" s="2">
        <v>1.0880174082264001E-3</v>
      </c>
      <c r="X67">
        <v>0.72970999999999997</v>
      </c>
      <c r="Y67">
        <v>3.1979375373835999</v>
      </c>
      <c r="Z67">
        <v>4.1978869131735097</v>
      </c>
      <c r="AA67">
        <v>0.76009300000000002</v>
      </c>
      <c r="AB67">
        <v>3.0594075898748399</v>
      </c>
      <c r="AC67">
        <v>4.0584830552586002</v>
      </c>
      <c r="AD67">
        <v>0.77344999999999997</v>
      </c>
      <c r="AE67">
        <v>2.99014973139677</v>
      </c>
      <c r="AF67">
        <v>3.9882076243030702</v>
      </c>
      <c r="AH67" s="7">
        <f>SBC!D66</f>
        <v>0.65</v>
      </c>
      <c r="AI67" s="7">
        <f t="shared" si="2"/>
        <v>34.749999999999972</v>
      </c>
      <c r="AJ67" s="7">
        <f t="shared" ref="AJ67:AJ102" si="4">AD67</f>
        <v>0.77344999999999997</v>
      </c>
      <c r="AK67" s="7">
        <f t="shared" si="3"/>
        <v>34.392618999999996</v>
      </c>
      <c r="AL67" s="7">
        <f t="shared" ref="AL67:AL102" si="5">AK67-AI67</f>
        <v>-0.3573809999999753</v>
      </c>
    </row>
    <row r="68" spans="1:38" x14ac:dyDescent="0.3">
      <c r="A68">
        <v>66</v>
      </c>
      <c r="B68">
        <v>65</v>
      </c>
      <c r="C68">
        <v>66</v>
      </c>
      <c r="D68">
        <v>1</v>
      </c>
      <c r="E68">
        <v>2147483647</v>
      </c>
      <c r="F68">
        <v>0.91</v>
      </c>
      <c r="G68">
        <v>1</v>
      </c>
      <c r="H68">
        <v>0.90820199999999995</v>
      </c>
      <c r="I68">
        <v>0.90820199999999995</v>
      </c>
      <c r="J68">
        <v>0</v>
      </c>
      <c r="K68">
        <v>0</v>
      </c>
      <c r="L68">
        <v>2.4584138454783901</v>
      </c>
      <c r="M68" s="2">
        <v>8.3607444182761895E-3</v>
      </c>
      <c r="N68">
        <v>3.2382826410547101</v>
      </c>
      <c r="O68" s="2">
        <v>8.8220805442660397E-3</v>
      </c>
      <c r="P68">
        <v>0.77986879557633904</v>
      </c>
      <c r="Q68" s="2">
        <v>9.2432646826746999E-4</v>
      </c>
      <c r="R68">
        <v>2.5109840000000001</v>
      </c>
      <c r="S68" s="2">
        <v>8.5056190084859401E-3</v>
      </c>
      <c r="T68">
        <v>3.2998099999999999</v>
      </c>
      <c r="U68" s="2">
        <v>8.9714636921442801E-3</v>
      </c>
      <c r="V68">
        <v>0.78882600000000003</v>
      </c>
      <c r="W68" s="2">
        <v>1.05130301777567E-3</v>
      </c>
      <c r="X68">
        <v>0.90820199999999995</v>
      </c>
      <c r="Y68">
        <v>3.2410777449501298</v>
      </c>
      <c r="Z68">
        <v>4.2421285837286602</v>
      </c>
      <c r="AA68">
        <v>0.80141899999999999</v>
      </c>
      <c r="AB68">
        <v>2.9161344411330399</v>
      </c>
      <c r="AC68">
        <v>3.9168920072299498</v>
      </c>
      <c r="AD68">
        <v>0.780142</v>
      </c>
      <c r="AE68">
        <v>2.9764695745891001</v>
      </c>
      <c r="AF68">
        <v>3.9684315551943499</v>
      </c>
      <c r="AH68" s="7">
        <f>SBC!D67</f>
        <v>0.9</v>
      </c>
      <c r="AI68" s="7">
        <f t="shared" ref="AI68:AI102" si="6">AI67+AH68</f>
        <v>35.64999999999997</v>
      </c>
      <c r="AJ68" s="7">
        <f t="shared" si="4"/>
        <v>0.780142</v>
      </c>
      <c r="AK68" s="7">
        <f t="shared" ref="AK68:AK102" si="7">AK67+AJ68</f>
        <v>35.172760999999994</v>
      </c>
      <c r="AL68" s="7">
        <f t="shared" si="5"/>
        <v>-0.47723899999997599</v>
      </c>
    </row>
    <row r="69" spans="1:38" x14ac:dyDescent="0.3">
      <c r="A69">
        <v>67</v>
      </c>
      <c r="B69">
        <v>66</v>
      </c>
      <c r="C69">
        <v>67</v>
      </c>
      <c r="D69">
        <v>1</v>
      </c>
      <c r="E69">
        <v>2147483647</v>
      </c>
      <c r="F69">
        <v>0.92</v>
      </c>
      <c r="G69">
        <v>1</v>
      </c>
      <c r="H69">
        <v>0.92035400000000001</v>
      </c>
      <c r="I69">
        <v>0.92035400000000001</v>
      </c>
      <c r="J69">
        <v>0</v>
      </c>
      <c r="K69">
        <v>0</v>
      </c>
      <c r="L69">
        <v>2.5680247800261702</v>
      </c>
      <c r="M69" s="2">
        <v>8.4939003031830797E-3</v>
      </c>
      <c r="N69">
        <v>3.3638847366518498</v>
      </c>
      <c r="O69" s="2">
        <v>8.9333893977388609E-3</v>
      </c>
      <c r="P69">
        <v>0.79585995662567799</v>
      </c>
      <c r="Q69" s="2">
        <v>8.98492501201777E-4</v>
      </c>
      <c r="R69">
        <v>2.6236470000000001</v>
      </c>
      <c r="S69" s="2">
        <v>8.6514577177674804E-3</v>
      </c>
      <c r="T69">
        <v>3.4253239999999998</v>
      </c>
      <c r="U69" s="2">
        <v>9.0998502653368302E-3</v>
      </c>
      <c r="V69">
        <v>0.80167699999999997</v>
      </c>
      <c r="W69" s="2">
        <v>1.02707777879347E-3</v>
      </c>
      <c r="X69">
        <v>0.92035400000000001</v>
      </c>
      <c r="Y69">
        <v>3.3688963823061102</v>
      </c>
      <c r="Z69">
        <v>4.3694594901567196</v>
      </c>
      <c r="AA69">
        <v>0.80769100000000005</v>
      </c>
      <c r="AB69">
        <v>2.92534545871457</v>
      </c>
      <c r="AC69">
        <v>3.9268398903922002</v>
      </c>
      <c r="AD69">
        <v>0.79483999999999999</v>
      </c>
      <c r="AE69">
        <v>2.94190451274959</v>
      </c>
      <c r="AF69">
        <v>3.92669065596297</v>
      </c>
      <c r="AH69" s="7">
        <f>SBC!D68</f>
        <v>0.65</v>
      </c>
      <c r="AI69" s="7">
        <f t="shared" si="6"/>
        <v>36.299999999999969</v>
      </c>
      <c r="AJ69" s="7">
        <f t="shared" si="4"/>
        <v>0.79483999999999999</v>
      </c>
      <c r="AK69" s="7">
        <f t="shared" si="7"/>
        <v>35.967600999999995</v>
      </c>
      <c r="AL69" s="7">
        <f t="shared" si="5"/>
        <v>-0.33239899999997391</v>
      </c>
    </row>
    <row r="70" spans="1:38" x14ac:dyDescent="0.3">
      <c r="A70">
        <v>68</v>
      </c>
      <c r="B70">
        <v>67</v>
      </c>
      <c r="C70">
        <v>68</v>
      </c>
      <c r="D70">
        <v>1</v>
      </c>
      <c r="E70">
        <v>2147483647</v>
      </c>
      <c r="F70">
        <v>0.92</v>
      </c>
      <c r="G70">
        <v>1</v>
      </c>
      <c r="H70">
        <v>0.91924300000000003</v>
      </c>
      <c r="I70">
        <v>0.91924300000000003</v>
      </c>
      <c r="J70">
        <v>0</v>
      </c>
      <c r="K70">
        <v>0</v>
      </c>
      <c r="L70">
        <v>2.6761085340331898</v>
      </c>
      <c r="M70" s="2">
        <v>8.6399154525475304E-3</v>
      </c>
      <c r="N70">
        <v>3.4825202438412299</v>
      </c>
      <c r="O70" s="2">
        <v>9.0662360476810502E-3</v>
      </c>
      <c r="P70">
        <v>0.80641170980810495</v>
      </c>
      <c r="Q70" s="2">
        <v>8.8092609089037203E-4</v>
      </c>
      <c r="R70">
        <v>2.7273640000000001</v>
      </c>
      <c r="S70" s="2">
        <v>8.7951508110028897E-3</v>
      </c>
      <c r="T70">
        <v>3.5382310000000001</v>
      </c>
      <c r="U70" s="2">
        <v>9.2313181332284895E-3</v>
      </c>
      <c r="V70">
        <v>0.810867</v>
      </c>
      <c r="W70" s="2">
        <v>1.0087314197542599E-3</v>
      </c>
      <c r="X70">
        <v>0.91924300000000003</v>
      </c>
      <c r="Y70">
        <v>3.4794394983098802</v>
      </c>
      <c r="Z70">
        <v>4.4817820010410001</v>
      </c>
      <c r="AA70">
        <v>0.81552599999999997</v>
      </c>
      <c r="AB70">
        <v>2.9603343686327599</v>
      </c>
      <c r="AC70">
        <v>3.96020412827396</v>
      </c>
      <c r="AD70">
        <v>0.80633600000000005</v>
      </c>
      <c r="AE70">
        <v>2.94832282249051</v>
      </c>
      <c r="AF70">
        <v>3.9354796199334698</v>
      </c>
      <c r="AH70" s="7">
        <f>SBC!D69</f>
        <v>0.9</v>
      </c>
      <c r="AI70" s="7">
        <f t="shared" si="6"/>
        <v>37.199999999999967</v>
      </c>
      <c r="AJ70" s="7">
        <f t="shared" si="4"/>
        <v>0.80633600000000005</v>
      </c>
      <c r="AK70" s="7">
        <f t="shared" si="7"/>
        <v>36.773936999999997</v>
      </c>
      <c r="AL70" s="7">
        <f t="shared" si="5"/>
        <v>-0.42606299999997077</v>
      </c>
    </row>
    <row r="71" spans="1:38" x14ac:dyDescent="0.3">
      <c r="A71">
        <v>69</v>
      </c>
      <c r="B71">
        <v>68</v>
      </c>
      <c r="C71">
        <v>69</v>
      </c>
      <c r="D71">
        <v>1</v>
      </c>
      <c r="E71">
        <v>2147483647</v>
      </c>
      <c r="F71">
        <v>0.92</v>
      </c>
      <c r="G71">
        <v>1</v>
      </c>
      <c r="H71">
        <v>0.91972100000000001</v>
      </c>
      <c r="I71">
        <v>0.91972100000000001</v>
      </c>
      <c r="J71">
        <v>0</v>
      </c>
      <c r="K71">
        <v>0</v>
      </c>
      <c r="L71">
        <v>2.7770899670304598</v>
      </c>
      <c r="M71" s="2">
        <v>8.7872521125394506E-3</v>
      </c>
      <c r="N71">
        <v>3.5914204564355501</v>
      </c>
      <c r="O71" s="2">
        <v>9.2039088345243995E-3</v>
      </c>
      <c r="P71">
        <v>0.81433048940514696</v>
      </c>
      <c r="Q71" s="2">
        <v>8.6766095601412097E-4</v>
      </c>
      <c r="R71">
        <v>2.8257129999999999</v>
      </c>
      <c r="S71" s="2">
        <v>8.9474006990739804E-3</v>
      </c>
      <c r="T71">
        <v>3.6437650000000001</v>
      </c>
      <c r="U71" s="2">
        <v>9.3736851348402307E-3</v>
      </c>
      <c r="V71" s="2">
        <v>0.818052</v>
      </c>
      <c r="W71" s="2">
        <v>9.9375923599858296E-4</v>
      </c>
      <c r="X71">
        <v>0.91972100000000001</v>
      </c>
      <c r="Y71">
        <v>3.5912348692388898</v>
      </c>
      <c r="Z71">
        <v>4.59170349120265</v>
      </c>
      <c r="AA71" s="2">
        <v>0.82137199999999999</v>
      </c>
      <c r="AB71">
        <v>2.9935463561155702</v>
      </c>
      <c r="AC71">
        <v>3.99531259499518</v>
      </c>
      <c r="AD71">
        <v>0.81418699999999999</v>
      </c>
      <c r="AE71">
        <v>2.9639560711457098</v>
      </c>
      <c r="AF71">
        <v>3.9524558801338401</v>
      </c>
      <c r="AH71" s="7">
        <f>SBC!D70</f>
        <v>0.65</v>
      </c>
      <c r="AI71" s="7">
        <f t="shared" si="6"/>
        <v>37.849999999999966</v>
      </c>
      <c r="AJ71" s="7">
        <f t="shared" si="4"/>
        <v>0.81418699999999999</v>
      </c>
      <c r="AK71" s="7">
        <f t="shared" si="7"/>
        <v>37.588123999999993</v>
      </c>
      <c r="AL71" s="7">
        <f t="shared" si="5"/>
        <v>-0.26187599999997246</v>
      </c>
    </row>
    <row r="72" spans="1:38" x14ac:dyDescent="0.3">
      <c r="A72">
        <v>70</v>
      </c>
      <c r="B72">
        <v>69</v>
      </c>
      <c r="C72">
        <v>70</v>
      </c>
      <c r="D72">
        <v>1</v>
      </c>
      <c r="E72">
        <v>2147483647</v>
      </c>
      <c r="F72">
        <v>0.92</v>
      </c>
      <c r="G72">
        <v>1</v>
      </c>
      <c r="H72">
        <v>0.92076499999999994</v>
      </c>
      <c r="I72">
        <v>0.92076499999999994</v>
      </c>
      <c r="J72">
        <v>0</v>
      </c>
      <c r="K72">
        <v>0</v>
      </c>
      <c r="L72">
        <v>2.8745147632179302</v>
      </c>
      <c r="M72" s="2">
        <v>8.9385439862697605E-3</v>
      </c>
      <c r="N72">
        <v>3.6953844001576899</v>
      </c>
      <c r="O72" s="2">
        <v>9.3469614131181308E-3</v>
      </c>
      <c r="P72" s="2">
        <v>0.82086963693967796</v>
      </c>
      <c r="Q72" s="2">
        <v>8.5584544447357897E-4</v>
      </c>
      <c r="R72">
        <v>2.9219840000000001</v>
      </c>
      <c r="S72" s="2">
        <v>9.09745333041901E-3</v>
      </c>
      <c r="T72">
        <v>3.7451880000000002</v>
      </c>
      <c r="U72" s="2">
        <v>9.5175839579534592E-3</v>
      </c>
      <c r="V72" s="2">
        <v>0.82320400000000005</v>
      </c>
      <c r="W72" s="2">
        <v>9.8266849620603906E-4</v>
      </c>
      <c r="X72">
        <v>0.92076499999999994</v>
      </c>
      <c r="Y72">
        <v>3.6936970525295401</v>
      </c>
      <c r="Z72">
        <v>4.6922070933368696</v>
      </c>
      <c r="AA72" s="2">
        <v>0.82449399999999995</v>
      </c>
      <c r="AB72">
        <v>3.0506768282871701</v>
      </c>
      <c r="AC72">
        <v>4.0503053673823999</v>
      </c>
      <c r="AD72" s="2">
        <v>0.81934200000000001</v>
      </c>
      <c r="AE72">
        <v>3.00235710936288</v>
      </c>
      <c r="AF72">
        <v>3.9938305008091302</v>
      </c>
      <c r="AH72" s="7">
        <f>SBC!D71</f>
        <v>0.9</v>
      </c>
      <c r="AI72" s="7">
        <f t="shared" si="6"/>
        <v>38.749999999999964</v>
      </c>
      <c r="AJ72" s="7">
        <f t="shared" si="4"/>
        <v>0.81934200000000001</v>
      </c>
      <c r="AK72" s="7">
        <f t="shared" si="7"/>
        <v>38.407465999999992</v>
      </c>
      <c r="AL72" s="7">
        <f t="shared" si="5"/>
        <v>-0.34253399999997214</v>
      </c>
    </row>
    <row r="73" spans="1:38" x14ac:dyDescent="0.3">
      <c r="A73">
        <v>71</v>
      </c>
      <c r="B73">
        <v>70</v>
      </c>
      <c r="C73">
        <v>71</v>
      </c>
      <c r="D73">
        <v>1</v>
      </c>
      <c r="E73">
        <v>2147483647</v>
      </c>
      <c r="F73">
        <v>0.93</v>
      </c>
      <c r="G73">
        <v>1</v>
      </c>
      <c r="H73">
        <v>0.92990799999999996</v>
      </c>
      <c r="I73">
        <v>0.92990799999999996</v>
      </c>
      <c r="J73">
        <v>0</v>
      </c>
      <c r="K73">
        <v>0</v>
      </c>
      <c r="L73" s="2">
        <v>2.9707884991603501</v>
      </c>
      <c r="M73" s="2">
        <v>9.0926054222433897E-3</v>
      </c>
      <c r="N73">
        <v>3.7973314600088202</v>
      </c>
      <c r="O73" s="2">
        <v>9.4938672288235604E-3</v>
      </c>
      <c r="P73" s="2">
        <v>0.82654296084843004</v>
      </c>
      <c r="Q73" s="2">
        <v>8.4551127352143203E-4</v>
      </c>
      <c r="R73" s="2">
        <v>3.018961</v>
      </c>
      <c r="S73" s="2">
        <v>9.2582720883188901E-3</v>
      </c>
      <c r="T73">
        <v>3.848093</v>
      </c>
      <c r="U73" s="2">
        <v>9.6695771829225906E-3</v>
      </c>
      <c r="V73" s="2">
        <v>0.82913199999999998</v>
      </c>
      <c r="W73" s="2">
        <v>9.6952561135771602E-4</v>
      </c>
      <c r="X73">
        <v>0.92990799999999996</v>
      </c>
      <c r="Y73">
        <v>3.7965866807841699</v>
      </c>
      <c r="Z73">
        <v>4.7945630666285801</v>
      </c>
      <c r="AA73" s="2">
        <v>0.83293099999999998</v>
      </c>
      <c r="AB73">
        <v>3.1042149286337501</v>
      </c>
      <c r="AC73">
        <v>4.1037428211604503</v>
      </c>
      <c r="AD73" s="2">
        <v>0.82700300000000004</v>
      </c>
      <c r="AE73">
        <v>3.05131547812416</v>
      </c>
      <c r="AF73">
        <v>4.0449390958816798</v>
      </c>
      <c r="AH73" s="7">
        <f>SBC!D72</f>
        <v>0.65</v>
      </c>
      <c r="AI73" s="7">
        <f t="shared" si="6"/>
        <v>39.399999999999963</v>
      </c>
      <c r="AJ73" s="7">
        <f t="shared" si="4"/>
        <v>0.82700300000000004</v>
      </c>
      <c r="AK73" s="7">
        <f t="shared" si="7"/>
        <v>39.23446899999999</v>
      </c>
      <c r="AL73" s="7">
        <f t="shared" si="5"/>
        <v>-0.16553099999997301</v>
      </c>
    </row>
    <row r="74" spans="1:38" x14ac:dyDescent="0.3">
      <c r="A74">
        <v>72</v>
      </c>
      <c r="B74">
        <v>71</v>
      </c>
      <c r="C74">
        <v>72</v>
      </c>
      <c r="D74">
        <v>1</v>
      </c>
      <c r="E74">
        <v>2147483647</v>
      </c>
      <c r="F74">
        <v>0.93</v>
      </c>
      <c r="G74">
        <v>1</v>
      </c>
      <c r="H74">
        <v>0.93091699999999999</v>
      </c>
      <c r="I74">
        <v>0.93091699999999999</v>
      </c>
      <c r="J74">
        <v>0</v>
      </c>
      <c r="K74">
        <v>0</v>
      </c>
      <c r="L74" s="2">
        <v>3.0672713549678399</v>
      </c>
      <c r="M74" s="2">
        <v>9.2564555787626301E-3</v>
      </c>
      <c r="N74">
        <v>3.89898114063686</v>
      </c>
      <c r="O74" s="2">
        <v>9.6507675121254993E-3</v>
      </c>
      <c r="P74" s="2">
        <v>0.83170978566907905</v>
      </c>
      <c r="Q74" s="2">
        <v>8.3582755196511297E-4</v>
      </c>
      <c r="R74" s="2">
        <v>3.114789</v>
      </c>
      <c r="S74" s="2">
        <v>9.4212147797603594E-3</v>
      </c>
      <c r="T74" s="2">
        <v>3.9486560000000002</v>
      </c>
      <c r="U74" s="2">
        <v>9.8257390928340703E-3</v>
      </c>
      <c r="V74" s="2">
        <v>0.83386700000000002</v>
      </c>
      <c r="W74" s="2">
        <v>9.58723619413185E-4</v>
      </c>
      <c r="X74">
        <v>0.93091699999999999</v>
      </c>
      <c r="Y74">
        <v>3.9015476390214801</v>
      </c>
      <c r="Z74">
        <v>4.8997970887240996</v>
      </c>
      <c r="AA74" s="2">
        <v>0.83508899999999997</v>
      </c>
      <c r="AB74">
        <v>3.1700997676145199</v>
      </c>
      <c r="AC74">
        <v>4.1701243508377601</v>
      </c>
      <c r="AD74" s="2">
        <v>0.83035400000000004</v>
      </c>
      <c r="AE74">
        <v>3.1069771504635901</v>
      </c>
      <c r="AF74">
        <v>4.10172830495158</v>
      </c>
      <c r="AH74" s="7">
        <f>SBC!D73</f>
        <v>0.9</v>
      </c>
      <c r="AI74" s="7">
        <f t="shared" si="6"/>
        <v>40.299999999999962</v>
      </c>
      <c r="AJ74" s="7">
        <f t="shared" si="4"/>
        <v>0.83035400000000004</v>
      </c>
      <c r="AK74" s="7">
        <f t="shared" si="7"/>
        <v>40.06482299999999</v>
      </c>
      <c r="AL74" s="7">
        <f t="shared" si="5"/>
        <v>-0.23517699999997177</v>
      </c>
    </row>
    <row r="75" spans="1:38" x14ac:dyDescent="0.3">
      <c r="A75">
        <v>73</v>
      </c>
      <c r="B75">
        <v>72</v>
      </c>
      <c r="C75">
        <v>73</v>
      </c>
      <c r="D75">
        <v>1</v>
      </c>
      <c r="E75">
        <v>2147483647</v>
      </c>
      <c r="F75">
        <v>0.93</v>
      </c>
      <c r="G75">
        <v>1</v>
      </c>
      <c r="H75">
        <v>0.93064599999999997</v>
      </c>
      <c r="I75">
        <v>0.93064599999999997</v>
      </c>
      <c r="J75">
        <v>0</v>
      </c>
      <c r="K75">
        <v>0</v>
      </c>
      <c r="L75" s="2">
        <v>3.1602891684299301</v>
      </c>
      <c r="M75" s="2">
        <v>9.4238956007503902E-3</v>
      </c>
      <c r="N75" s="2">
        <v>3.9965815099820698</v>
      </c>
      <c r="O75" s="2">
        <v>9.81157091027666E-3</v>
      </c>
      <c r="P75" s="2">
        <v>0.83629234155218801</v>
      </c>
      <c r="Q75" s="2">
        <v>8.2662063626945295E-4</v>
      </c>
      <c r="R75" s="2">
        <v>3.2043849999999998</v>
      </c>
      <c r="S75" s="2">
        <v>9.5887548376532104E-3</v>
      </c>
      <c r="T75" s="2">
        <v>4.0428069999999998</v>
      </c>
      <c r="U75" s="2">
        <v>9.9856695119874394E-3</v>
      </c>
      <c r="V75" s="2">
        <v>0.838422</v>
      </c>
      <c r="W75" s="2">
        <v>9.48068083618548E-4</v>
      </c>
      <c r="X75">
        <v>0.93064599999999997</v>
      </c>
      <c r="Y75">
        <v>3.99848356051747</v>
      </c>
      <c r="Z75">
        <v>4.9994463182208602</v>
      </c>
      <c r="AA75" s="2">
        <v>0.84104999999999996</v>
      </c>
      <c r="AB75">
        <v>3.2353979597667299</v>
      </c>
      <c r="AC75">
        <v>4.23674104912633</v>
      </c>
      <c r="AD75" s="2">
        <v>0.83649499999999999</v>
      </c>
      <c r="AE75">
        <v>3.1708536482093002</v>
      </c>
      <c r="AF75">
        <v>4.16500606825171</v>
      </c>
      <c r="AH75" s="7">
        <f>SBC!D74</f>
        <v>0.65</v>
      </c>
      <c r="AI75" s="7">
        <f t="shared" si="6"/>
        <v>40.94999999999996</v>
      </c>
      <c r="AJ75" s="7">
        <f t="shared" si="4"/>
        <v>0.83649499999999999</v>
      </c>
      <c r="AK75" s="7">
        <f t="shared" si="7"/>
        <v>40.901317999999989</v>
      </c>
      <c r="AL75" s="7">
        <f t="shared" si="5"/>
        <v>-4.8681999999971026E-2</v>
      </c>
    </row>
    <row r="76" spans="1:38" x14ac:dyDescent="0.3">
      <c r="A76">
        <v>74</v>
      </c>
      <c r="B76">
        <v>73</v>
      </c>
      <c r="C76">
        <v>74</v>
      </c>
      <c r="D76">
        <v>1</v>
      </c>
      <c r="E76">
        <v>2147483647</v>
      </c>
      <c r="F76">
        <v>0.93</v>
      </c>
      <c r="G76">
        <v>1</v>
      </c>
      <c r="H76">
        <v>0.93069500000000005</v>
      </c>
      <c r="I76">
        <v>0.93069500000000005</v>
      </c>
      <c r="J76">
        <v>0</v>
      </c>
      <c r="K76">
        <v>0</v>
      </c>
      <c r="L76" s="2">
        <v>3.2484274247005702</v>
      </c>
      <c r="M76" s="2">
        <v>9.5862630380508206E-3</v>
      </c>
      <c r="N76" s="2">
        <v>4.0886920539012603</v>
      </c>
      <c r="O76" s="2">
        <v>9.9680697674446594E-3</v>
      </c>
      <c r="P76" s="2">
        <v>0.84026462920063105</v>
      </c>
      <c r="Q76" s="2">
        <v>8.1847958082146199E-4</v>
      </c>
      <c r="R76" s="2">
        <v>3.2918310000000002</v>
      </c>
      <c r="S76" s="2">
        <v>9.7452632662133592E-3</v>
      </c>
      <c r="T76" s="2">
        <v>4.1337070000000002</v>
      </c>
      <c r="U76" s="2">
        <v>1.0137088253535801E-2</v>
      </c>
      <c r="V76" s="2">
        <v>0.84187599999999996</v>
      </c>
      <c r="W76" s="2">
        <v>9.3980995290824797E-4</v>
      </c>
      <c r="X76">
        <v>0.93069500000000005</v>
      </c>
      <c r="Y76">
        <v>4.0805096345629401</v>
      </c>
      <c r="Z76">
        <v>5.0798755262141597</v>
      </c>
      <c r="AA76" s="2">
        <v>0.84324900000000003</v>
      </c>
      <c r="AB76">
        <v>3.3155585141086701</v>
      </c>
      <c r="AC76">
        <v>4.3154723579062404</v>
      </c>
      <c r="AD76" s="2">
        <v>0.83979499999999996</v>
      </c>
      <c r="AE76">
        <v>3.24474552868661</v>
      </c>
      <c r="AF76">
        <v>4.2409694710123</v>
      </c>
      <c r="AH76" s="7">
        <f>SBC!D75</f>
        <v>0.9</v>
      </c>
      <c r="AI76" s="7">
        <f t="shared" si="6"/>
        <v>41.849999999999959</v>
      </c>
      <c r="AJ76" s="7">
        <f t="shared" si="4"/>
        <v>0.83979499999999996</v>
      </c>
      <c r="AK76" s="7">
        <f t="shared" si="7"/>
        <v>41.741112999999991</v>
      </c>
      <c r="AL76" s="7">
        <f t="shared" si="5"/>
        <v>-0.10888699999996732</v>
      </c>
    </row>
    <row r="77" spans="1:38" x14ac:dyDescent="0.3">
      <c r="A77">
        <v>75</v>
      </c>
      <c r="B77">
        <v>74</v>
      </c>
      <c r="C77">
        <v>75</v>
      </c>
      <c r="D77">
        <v>1</v>
      </c>
      <c r="E77">
        <v>2147483647</v>
      </c>
      <c r="F77">
        <v>0.93</v>
      </c>
      <c r="G77">
        <v>1</v>
      </c>
      <c r="H77">
        <v>0.92926600000000004</v>
      </c>
      <c r="I77">
        <v>0.92926600000000004</v>
      </c>
      <c r="J77">
        <v>0</v>
      </c>
      <c r="K77">
        <v>0</v>
      </c>
      <c r="L77" s="2">
        <v>3.33388364375288</v>
      </c>
      <c r="M77" s="2">
        <v>9.7399129957392895E-3</v>
      </c>
      <c r="N77" s="2">
        <v>4.1771321363842997</v>
      </c>
      <c r="O77" s="2">
        <v>1.01179528503014E-2</v>
      </c>
      <c r="P77" s="2">
        <v>0.84324849263142798</v>
      </c>
      <c r="Q77" s="2">
        <v>8.1301504623239101E-4</v>
      </c>
      <c r="R77" s="2">
        <v>3.374898</v>
      </c>
      <c r="S77" s="2">
        <v>9.8994879187034208E-3</v>
      </c>
      <c r="T77" s="2">
        <v>4.2191890000000001</v>
      </c>
      <c r="U77" s="2">
        <v>1.0288119941347601E-2</v>
      </c>
      <c r="V77" s="2">
        <v>0.84429100000000001</v>
      </c>
      <c r="W77" s="2">
        <v>9.3394223849683697E-4</v>
      </c>
      <c r="X77">
        <v>0.92926600000000004</v>
      </c>
      <c r="Y77">
        <v>4.1676327582277803</v>
      </c>
      <c r="Z77">
        <v>5.16720128020948</v>
      </c>
      <c r="AA77" s="2">
        <v>0.84619900000000003</v>
      </c>
      <c r="AB77">
        <v>3.3854143143876598</v>
      </c>
      <c r="AC77">
        <v>4.3836980797169698</v>
      </c>
      <c r="AD77" s="2">
        <v>0.84378399999999998</v>
      </c>
      <c r="AE77">
        <v>3.3114215149822299</v>
      </c>
      <c r="AF77">
        <v>4.3065091077702</v>
      </c>
      <c r="AH77" s="7">
        <f>SBC!D76</f>
        <v>0.65</v>
      </c>
      <c r="AI77" s="7">
        <f t="shared" si="6"/>
        <v>42.499999999999957</v>
      </c>
      <c r="AJ77" s="7">
        <f t="shared" si="4"/>
        <v>0.84378399999999998</v>
      </c>
      <c r="AK77" s="7">
        <f t="shared" si="7"/>
        <v>42.584896999999991</v>
      </c>
      <c r="AL77" s="7">
        <f t="shared" si="5"/>
        <v>8.4897000000033529E-2</v>
      </c>
    </row>
    <row r="78" spans="1:38" x14ac:dyDescent="0.3">
      <c r="A78">
        <v>76</v>
      </c>
      <c r="B78">
        <v>75</v>
      </c>
      <c r="C78">
        <v>76</v>
      </c>
      <c r="D78">
        <v>1</v>
      </c>
      <c r="E78">
        <v>2147483647</v>
      </c>
      <c r="F78">
        <v>0.88</v>
      </c>
      <c r="G78">
        <v>1</v>
      </c>
      <c r="H78">
        <v>0.88013300000000005</v>
      </c>
      <c r="I78">
        <v>0.88013300000000005</v>
      </c>
      <c r="J78">
        <v>0</v>
      </c>
      <c r="K78">
        <v>0</v>
      </c>
      <c r="L78" s="2">
        <v>3.3941206816478302</v>
      </c>
      <c r="M78" s="2">
        <v>9.8805901844261808E-3</v>
      </c>
      <c r="N78" s="2">
        <v>4.2373264928449403</v>
      </c>
      <c r="O78" s="2">
        <v>1.02601873766376E-2</v>
      </c>
      <c r="P78" s="2">
        <v>0.84320581119706906</v>
      </c>
      <c r="Q78" s="2">
        <v>8.1684162508505404E-4</v>
      </c>
      <c r="R78" s="2">
        <v>3.4134030000000002</v>
      </c>
      <c r="S78" s="2">
        <v>1.00157719910076E-2</v>
      </c>
      <c r="T78" s="2">
        <v>4.2559019999999999</v>
      </c>
      <c r="U78" s="2">
        <v>1.0408176312638901E-2</v>
      </c>
      <c r="V78" s="2">
        <v>0.842499</v>
      </c>
      <c r="W78" s="2">
        <v>9.3830371189146302E-4</v>
      </c>
      <c r="X78">
        <v>0.88013300000000005</v>
      </c>
      <c r="Y78">
        <v>4.2341704336205499</v>
      </c>
      <c r="Z78">
        <v>5.2365462750781004</v>
      </c>
      <c r="AA78" s="2">
        <v>0.84162800000000004</v>
      </c>
      <c r="AB78">
        <v>3.50127529677252</v>
      </c>
      <c r="AC78">
        <v>4.5016793855910198</v>
      </c>
      <c r="AD78" s="2">
        <v>0.84341999999999995</v>
      </c>
      <c r="AE78">
        <v>3.40748368563847</v>
      </c>
      <c r="AF78">
        <v>4.4063477058718901</v>
      </c>
      <c r="AH78" s="7">
        <f>SBC!D77</f>
        <v>0.9</v>
      </c>
      <c r="AI78" s="7">
        <f t="shared" si="6"/>
        <v>43.399999999999956</v>
      </c>
      <c r="AJ78" s="7">
        <f t="shared" si="4"/>
        <v>0.84341999999999995</v>
      </c>
      <c r="AK78" s="7">
        <f t="shared" si="7"/>
        <v>43.428316999999993</v>
      </c>
      <c r="AL78" s="7">
        <f t="shared" si="5"/>
        <v>2.8317000000036785E-2</v>
      </c>
    </row>
    <row r="79" spans="1:38" x14ac:dyDescent="0.3">
      <c r="A79">
        <v>77</v>
      </c>
      <c r="B79">
        <v>76</v>
      </c>
      <c r="C79">
        <v>77</v>
      </c>
      <c r="D79">
        <v>1</v>
      </c>
      <c r="E79">
        <v>2147483647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 s="2">
        <v>3.0824977996602501</v>
      </c>
      <c r="M79" s="2">
        <v>9.7281612259163108E-3</v>
      </c>
      <c r="N79" s="2">
        <v>3.8574582346834601</v>
      </c>
      <c r="O79" s="2">
        <v>1.0236667999296E-2</v>
      </c>
      <c r="P79" s="2">
        <v>0.77496043502310197</v>
      </c>
      <c r="Q79" s="2">
        <v>1.0053110362375601E-3</v>
      </c>
      <c r="R79" s="2">
        <v>2.7711549999999998</v>
      </c>
      <c r="S79" s="2">
        <v>9.4914682198356699E-3</v>
      </c>
      <c r="T79" s="2">
        <v>3.4812609999999999</v>
      </c>
      <c r="U79" s="2">
        <v>1.0105145739339299E-2</v>
      </c>
      <c r="V79" s="2">
        <v>0.71010600000000001</v>
      </c>
      <c r="W79" s="2">
        <v>1.1686871908273299E-3</v>
      </c>
      <c r="X79">
        <v>0</v>
      </c>
      <c r="Y79">
        <v>-1</v>
      </c>
      <c r="Z79">
        <v>-1</v>
      </c>
      <c r="AA79" s="2">
        <v>0.64224800000000004</v>
      </c>
      <c r="AB79">
        <v>4.6489934723783302</v>
      </c>
      <c r="AC79">
        <v>5.64862398696323</v>
      </c>
      <c r="AD79" s="2">
        <v>0.77464100000000002</v>
      </c>
      <c r="AE79">
        <v>3.7864888940423498</v>
      </c>
      <c r="AF79">
        <v>4.8491928211888897</v>
      </c>
      <c r="AH79" s="7">
        <f>SBC!D78</f>
        <v>0.65</v>
      </c>
      <c r="AI79" s="7">
        <f t="shared" si="6"/>
        <v>44.049999999999955</v>
      </c>
      <c r="AJ79" s="7">
        <f t="shared" si="4"/>
        <v>0.77464100000000002</v>
      </c>
      <c r="AK79" s="7">
        <f t="shared" si="7"/>
        <v>44.202957999999995</v>
      </c>
      <c r="AL79" s="7">
        <f t="shared" si="5"/>
        <v>0.15295800000004078</v>
      </c>
    </row>
    <row r="80" spans="1:38" x14ac:dyDescent="0.3">
      <c r="A80">
        <v>78</v>
      </c>
      <c r="B80">
        <v>77</v>
      </c>
      <c r="C80">
        <v>78</v>
      </c>
      <c r="D80">
        <v>1</v>
      </c>
      <c r="E80">
        <v>2147483647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 s="2">
        <v>2.49532031346296</v>
      </c>
      <c r="M80" s="2">
        <v>9.1416452119408003E-3</v>
      </c>
      <c r="N80" s="2">
        <v>3.14600519168593</v>
      </c>
      <c r="O80" s="2">
        <v>9.8214997437952797E-3</v>
      </c>
      <c r="P80" s="2">
        <v>0.65068487822301802</v>
      </c>
      <c r="Q80" s="2">
        <v>1.1746049915994899E-3</v>
      </c>
      <c r="R80" s="2">
        <v>2.2362259999999998</v>
      </c>
      <c r="S80" s="2">
        <v>8.8451755260203907E-3</v>
      </c>
      <c r="T80" s="2">
        <v>2.8302299999999998</v>
      </c>
      <c r="U80" s="2">
        <v>9.5856587030873595E-3</v>
      </c>
      <c r="V80" s="2">
        <v>0.59400399999999998</v>
      </c>
      <c r="W80" s="2">
        <v>1.2649479097339401E-3</v>
      </c>
      <c r="X80">
        <v>0</v>
      </c>
      <c r="Y80">
        <v>-1</v>
      </c>
      <c r="Z80">
        <v>-1</v>
      </c>
      <c r="AA80" s="2">
        <v>0.53492899999999999</v>
      </c>
      <c r="AB80">
        <v>5.5200897845666104</v>
      </c>
      <c r="AC80">
        <v>6.5205887958401103</v>
      </c>
      <c r="AD80" s="2">
        <v>0.65103100000000003</v>
      </c>
      <c r="AE80">
        <v>4.5551991900257596</v>
      </c>
      <c r="AF80">
        <v>5.7034313148081504</v>
      </c>
      <c r="AH80" s="7">
        <f>SBC!D79</f>
        <v>0.9</v>
      </c>
      <c r="AI80" s="7">
        <f t="shared" si="6"/>
        <v>44.949999999999953</v>
      </c>
      <c r="AJ80" s="7">
        <f t="shared" si="4"/>
        <v>0.65103100000000003</v>
      </c>
      <c r="AK80" s="7">
        <f t="shared" si="7"/>
        <v>44.853988999999999</v>
      </c>
      <c r="AL80" s="7">
        <f t="shared" si="5"/>
        <v>-9.6010999999954549E-2</v>
      </c>
    </row>
    <row r="81" spans="1:38" x14ac:dyDescent="0.3">
      <c r="A81">
        <v>79</v>
      </c>
      <c r="B81">
        <v>78</v>
      </c>
      <c r="C81">
        <v>79</v>
      </c>
      <c r="D81">
        <v>1</v>
      </c>
      <c r="E81">
        <v>2147483647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 s="2">
        <v>2.0076900846607502</v>
      </c>
      <c r="M81" s="2">
        <v>8.4638538825277405E-3</v>
      </c>
      <c r="N81" s="2">
        <v>2.5498390377335101</v>
      </c>
      <c r="O81" s="2">
        <v>9.2370216177389795E-3</v>
      </c>
      <c r="P81" s="2">
        <v>0.542148953072632</v>
      </c>
      <c r="Q81" s="2">
        <v>1.23907806590072E-3</v>
      </c>
      <c r="R81" s="2">
        <v>1.794308</v>
      </c>
      <c r="S81" s="2">
        <v>8.1406357065740703E-3</v>
      </c>
      <c r="T81" s="2">
        <v>2.2872059999999999</v>
      </c>
      <c r="U81" s="2">
        <v>8.9444109116644192E-3</v>
      </c>
      <c r="V81" s="2">
        <v>0.492898</v>
      </c>
      <c r="W81" s="2">
        <v>1.28778472450175E-3</v>
      </c>
      <c r="X81">
        <v>0</v>
      </c>
      <c r="Y81">
        <v>-1</v>
      </c>
      <c r="Z81">
        <v>-1</v>
      </c>
      <c r="AA81" s="2">
        <v>0.44191799999999998</v>
      </c>
      <c r="AB81">
        <v>6.3804478634877002</v>
      </c>
      <c r="AC81">
        <v>7.3798503670270001</v>
      </c>
      <c r="AD81" s="2">
        <v>0.54302399999999995</v>
      </c>
      <c r="AE81">
        <v>5.3614368014241496</v>
      </c>
      <c r="AF81">
        <v>6.5507884523200604</v>
      </c>
      <c r="AH81" s="7">
        <f>SBC!D80</f>
        <v>0.65</v>
      </c>
      <c r="AI81" s="7">
        <f t="shared" si="6"/>
        <v>45.599999999999952</v>
      </c>
      <c r="AJ81" s="7">
        <f t="shared" si="4"/>
        <v>0.54302399999999995</v>
      </c>
      <c r="AK81" s="7">
        <f t="shared" si="7"/>
        <v>45.397013000000001</v>
      </c>
      <c r="AL81" s="7">
        <f t="shared" si="5"/>
        <v>-0.20298699999995051</v>
      </c>
    </row>
    <row r="82" spans="1:38" x14ac:dyDescent="0.3">
      <c r="A82">
        <v>80</v>
      </c>
      <c r="B82">
        <v>79</v>
      </c>
      <c r="C82">
        <v>80</v>
      </c>
      <c r="D82">
        <v>1</v>
      </c>
      <c r="E82">
        <v>2147483647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 s="2">
        <v>1.60733329617969</v>
      </c>
      <c r="M82" s="2">
        <v>7.7531737345395198E-3</v>
      </c>
      <c r="N82" s="2">
        <v>2.0557730513171202</v>
      </c>
      <c r="O82" s="2">
        <v>8.5662574012765804E-3</v>
      </c>
      <c r="P82" s="2">
        <v>0.44843975513745099</v>
      </c>
      <c r="Q82" s="2">
        <v>1.2430182282399799E-3</v>
      </c>
      <c r="R82" s="2">
        <v>1.432803</v>
      </c>
      <c r="S82" s="2">
        <v>7.4214754213941803E-3</v>
      </c>
      <c r="T82" s="2">
        <v>1.838867</v>
      </c>
      <c r="U82" s="2">
        <v>8.2444514865866892E-3</v>
      </c>
      <c r="V82" s="2">
        <v>0.40606399999999998</v>
      </c>
      <c r="W82" s="2">
        <v>1.26498142586682E-3</v>
      </c>
      <c r="X82">
        <v>0</v>
      </c>
      <c r="Y82">
        <v>-1</v>
      </c>
      <c r="Z82">
        <v>-1</v>
      </c>
      <c r="AA82" s="2">
        <v>0.36150500000000002</v>
      </c>
      <c r="AB82">
        <v>7.2669013242775398</v>
      </c>
      <c r="AC82">
        <v>8.2665016828362496</v>
      </c>
      <c r="AD82" s="2">
        <v>0.44833899999999999</v>
      </c>
      <c r="AE82">
        <v>6.2048127063578402</v>
      </c>
      <c r="AF82">
        <v>7.4196690197769497</v>
      </c>
      <c r="AH82" s="7">
        <f>SBC!D81</f>
        <v>0.9</v>
      </c>
      <c r="AI82" s="7">
        <f t="shared" si="6"/>
        <v>46.49999999999995</v>
      </c>
      <c r="AJ82" s="7">
        <f t="shared" si="4"/>
        <v>0.44833899999999999</v>
      </c>
      <c r="AK82" s="7">
        <f t="shared" si="7"/>
        <v>45.845351999999998</v>
      </c>
      <c r="AL82" s="7">
        <f t="shared" si="5"/>
        <v>-0.65464799999995194</v>
      </c>
    </row>
    <row r="83" spans="1:38" x14ac:dyDescent="0.3">
      <c r="A83">
        <v>81</v>
      </c>
      <c r="B83">
        <v>80</v>
      </c>
      <c r="C83">
        <v>81</v>
      </c>
      <c r="D83">
        <v>1</v>
      </c>
      <c r="E83">
        <v>2147483647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 s="2">
        <v>1.2806469711264601</v>
      </c>
      <c r="M83" s="2">
        <v>7.0379816772803199E-3</v>
      </c>
      <c r="N83" s="2">
        <v>1.64874126792798</v>
      </c>
      <c r="O83" s="2">
        <v>7.8549416761357904E-3</v>
      </c>
      <c r="P83" s="2">
        <v>0.36809429680154698</v>
      </c>
      <c r="Q83" s="2">
        <v>1.2090290033328101E-3</v>
      </c>
      <c r="R83" s="2">
        <v>1.1390420000000001</v>
      </c>
      <c r="S83" s="2">
        <v>6.7100058309327599E-3</v>
      </c>
      <c r="T83" s="2">
        <v>1.4712860000000001</v>
      </c>
      <c r="U83" s="2">
        <v>7.52258038248376E-3</v>
      </c>
      <c r="V83" s="2">
        <v>0.33224399999999998</v>
      </c>
      <c r="W83" s="2">
        <v>1.2132618797835099E-3</v>
      </c>
      <c r="X83">
        <v>0</v>
      </c>
      <c r="Y83">
        <v>-1</v>
      </c>
      <c r="Z83">
        <v>-1</v>
      </c>
      <c r="AA83" s="2">
        <v>0.29376099999999999</v>
      </c>
      <c r="AB83">
        <v>8.1754762625867397</v>
      </c>
      <c r="AC83">
        <v>9.1744200719282194</v>
      </c>
      <c r="AD83" s="2">
        <v>0.36758099999999999</v>
      </c>
      <c r="AE83">
        <v>7.0798132911028802</v>
      </c>
      <c r="AF83">
        <v>8.3115377053218005</v>
      </c>
      <c r="AH83" s="7">
        <f>SBC!D82</f>
        <v>0.65</v>
      </c>
      <c r="AI83" s="7">
        <f t="shared" si="6"/>
        <v>47.149999999999949</v>
      </c>
      <c r="AJ83" s="7">
        <f t="shared" si="4"/>
        <v>0.36758099999999999</v>
      </c>
      <c r="AK83" s="7">
        <f t="shared" si="7"/>
        <v>46.212933</v>
      </c>
      <c r="AL83" s="7">
        <f t="shared" si="5"/>
        <v>-0.93706699999994925</v>
      </c>
    </row>
    <row r="84" spans="1:38" x14ac:dyDescent="0.3">
      <c r="A84">
        <v>82</v>
      </c>
      <c r="B84">
        <v>81</v>
      </c>
      <c r="C84">
        <v>82</v>
      </c>
      <c r="D84">
        <v>1</v>
      </c>
      <c r="E84">
        <v>2147483647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 s="2">
        <v>1.01542989967752</v>
      </c>
      <c r="M84" s="2">
        <v>6.3416100380794902E-3</v>
      </c>
      <c r="N84" s="2">
        <v>1.3155092216219599</v>
      </c>
      <c r="O84" s="2">
        <v>7.1374984126004303E-3</v>
      </c>
      <c r="P84" s="2">
        <v>0.30007932194443399</v>
      </c>
      <c r="Q84" s="2">
        <v>1.1508327727694501E-3</v>
      </c>
      <c r="R84" s="2">
        <v>0.90059500000000003</v>
      </c>
      <c r="S84" s="2">
        <v>6.0267567511933101E-3</v>
      </c>
      <c r="T84" s="2">
        <v>1.170356</v>
      </c>
      <c r="U84" s="2">
        <v>6.8085005196856004E-3</v>
      </c>
      <c r="V84" s="2">
        <v>0.26976099999999997</v>
      </c>
      <c r="W84" s="2">
        <v>1.1432446372220701E-3</v>
      </c>
      <c r="X84">
        <v>0</v>
      </c>
      <c r="Y84">
        <v>-1</v>
      </c>
      <c r="Z84">
        <v>-1</v>
      </c>
      <c r="AA84" s="2">
        <v>0.23844699999999999</v>
      </c>
      <c r="AB84">
        <v>9.0732469523282901</v>
      </c>
      <c r="AC84">
        <v>10.0725962688043</v>
      </c>
      <c r="AD84" s="2">
        <v>0.30092999999999998</v>
      </c>
      <c r="AE84">
        <v>7.95123637477037</v>
      </c>
      <c r="AF84">
        <v>9.1985276396779607</v>
      </c>
      <c r="AH84" s="7">
        <f>SBC!D83</f>
        <v>0</v>
      </c>
      <c r="AI84" s="7">
        <f t="shared" si="6"/>
        <v>47.149999999999949</v>
      </c>
      <c r="AJ84" s="7">
        <f t="shared" si="4"/>
        <v>0.30092999999999998</v>
      </c>
      <c r="AK84" s="7">
        <f t="shared" si="7"/>
        <v>46.513863000000001</v>
      </c>
      <c r="AL84" s="7">
        <f t="shared" si="5"/>
        <v>-0.63613699999994822</v>
      </c>
    </row>
    <row r="85" spans="1:38" x14ac:dyDescent="0.3">
      <c r="A85">
        <v>83</v>
      </c>
      <c r="B85">
        <v>82</v>
      </c>
      <c r="C85">
        <v>83</v>
      </c>
      <c r="D85">
        <v>1</v>
      </c>
      <c r="E85">
        <v>2147483647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 s="2">
        <v>0.80179554988768298</v>
      </c>
      <c r="M85" s="2">
        <v>5.6823472613806401E-3</v>
      </c>
      <c r="N85" s="2">
        <v>1.04486246535507</v>
      </c>
      <c r="O85" s="2">
        <v>6.4407409242816698E-3</v>
      </c>
      <c r="P85" s="2">
        <v>0.24306691546739101</v>
      </c>
      <c r="Q85" s="2">
        <v>1.07862776909273E-3</v>
      </c>
      <c r="R85" s="2">
        <v>0.70946299999999995</v>
      </c>
      <c r="S85" s="2">
        <v>5.3844908365052596E-3</v>
      </c>
      <c r="T85" s="2">
        <v>0.92733500000000002</v>
      </c>
      <c r="U85" s="2">
        <v>6.1226334446214002E-3</v>
      </c>
      <c r="V85" s="2">
        <v>0.21787200000000001</v>
      </c>
      <c r="W85" s="2">
        <v>1.06330218554939E-3</v>
      </c>
      <c r="X85">
        <v>0</v>
      </c>
      <c r="Y85">
        <v>-1</v>
      </c>
      <c r="Z85">
        <v>-1</v>
      </c>
      <c r="AA85" s="2">
        <v>0.191132</v>
      </c>
      <c r="AB85">
        <v>9.9902099012608296</v>
      </c>
      <c r="AC85">
        <v>10.9925536546329</v>
      </c>
      <c r="AD85" s="2">
        <v>0.24302099999999999</v>
      </c>
      <c r="AE85">
        <v>8.8453659918777898</v>
      </c>
      <c r="AF85">
        <v>10.1019097259619</v>
      </c>
      <c r="AH85" s="7">
        <f>SBC!D84</f>
        <v>0</v>
      </c>
      <c r="AI85" s="7">
        <f t="shared" si="6"/>
        <v>47.149999999999949</v>
      </c>
      <c r="AJ85" s="7">
        <f t="shared" si="4"/>
        <v>0.24302099999999999</v>
      </c>
      <c r="AK85" s="7">
        <f t="shared" si="7"/>
        <v>46.756883999999999</v>
      </c>
      <c r="AL85" s="7">
        <f t="shared" si="5"/>
        <v>-0.39311599999994939</v>
      </c>
    </row>
    <row r="86" spans="1:38" x14ac:dyDescent="0.3">
      <c r="A86">
        <v>84</v>
      </c>
      <c r="B86">
        <v>83</v>
      </c>
      <c r="C86">
        <v>84</v>
      </c>
      <c r="D86">
        <v>1</v>
      </c>
      <c r="E86">
        <v>2147483647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 s="2">
        <v>0.62984079108281898</v>
      </c>
      <c r="M86" s="2">
        <v>5.0615769756509801E-3</v>
      </c>
      <c r="N86" s="2">
        <v>0.82573201347994996</v>
      </c>
      <c r="O86" s="2">
        <v>5.7722675583895596E-3</v>
      </c>
      <c r="P86" s="2">
        <v>0.195891222397131</v>
      </c>
      <c r="Q86" s="2">
        <v>9.9886945376899796E-4</v>
      </c>
      <c r="R86" s="2">
        <v>0.55632400000000004</v>
      </c>
      <c r="S86" s="2">
        <v>4.7869648705776303E-3</v>
      </c>
      <c r="T86" s="2">
        <v>0.73145300000000002</v>
      </c>
      <c r="U86" s="2">
        <v>5.4738424287526996E-3</v>
      </c>
      <c r="V86" s="2">
        <v>0.17512900000000001</v>
      </c>
      <c r="W86" s="2">
        <v>9.7901451595015809E-4</v>
      </c>
      <c r="X86">
        <v>0</v>
      </c>
      <c r="Y86">
        <v>-1</v>
      </c>
      <c r="Z86">
        <v>-1</v>
      </c>
      <c r="AA86" s="2">
        <v>0.153139</v>
      </c>
      <c r="AB86">
        <v>10.9167273331435</v>
      </c>
      <c r="AC86">
        <v>11.919379630938501</v>
      </c>
      <c r="AD86" s="2">
        <v>0.195882</v>
      </c>
      <c r="AE86">
        <v>9.7554346870130093</v>
      </c>
      <c r="AF86">
        <v>11.023472861964599</v>
      </c>
      <c r="AH86" s="7">
        <f>SBC!D85</f>
        <v>0</v>
      </c>
      <c r="AI86" s="7">
        <f t="shared" si="6"/>
        <v>47.149999999999949</v>
      </c>
      <c r="AJ86" s="7">
        <f t="shared" si="4"/>
        <v>0.195882</v>
      </c>
      <c r="AK86" s="7">
        <f t="shared" si="7"/>
        <v>46.952765999999997</v>
      </c>
      <c r="AL86" s="7">
        <f t="shared" si="5"/>
        <v>-0.19723399999995195</v>
      </c>
    </row>
    <row r="87" spans="1:38" x14ac:dyDescent="0.3">
      <c r="A87">
        <v>85</v>
      </c>
      <c r="B87">
        <v>84</v>
      </c>
      <c r="C87">
        <v>85</v>
      </c>
      <c r="D87">
        <v>1</v>
      </c>
      <c r="E87">
        <v>2147483647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 s="2">
        <v>0.49329546398625401</v>
      </c>
      <c r="M87" s="2">
        <v>4.4930488747815201E-3</v>
      </c>
      <c r="N87" s="2">
        <v>0.65021452528146595</v>
      </c>
      <c r="O87" s="2">
        <v>5.1507276829326097E-3</v>
      </c>
      <c r="P87" s="2">
        <v>0.15691906129521199</v>
      </c>
      <c r="Q87" s="2">
        <v>9.1595056270429897E-4</v>
      </c>
      <c r="R87" s="2">
        <v>0.43512000000000001</v>
      </c>
      <c r="S87" s="2">
        <v>4.2401644506754599E-3</v>
      </c>
      <c r="T87" s="2">
        <v>0.57503800000000005</v>
      </c>
      <c r="U87" s="2">
        <v>4.8727319743925301E-3</v>
      </c>
      <c r="V87" s="2">
        <v>0.13991799999999999</v>
      </c>
      <c r="W87" s="2">
        <v>8.9356017248677102E-4</v>
      </c>
      <c r="X87">
        <v>0</v>
      </c>
      <c r="Y87">
        <v>-1</v>
      </c>
      <c r="Z87">
        <v>-1</v>
      </c>
      <c r="AA87" s="2">
        <v>0.12120400000000001</v>
      </c>
      <c r="AB87">
        <v>11.8535671273024</v>
      </c>
      <c r="AC87">
        <v>12.853895029385001</v>
      </c>
      <c r="AD87" s="2">
        <v>0.156415</v>
      </c>
      <c r="AE87">
        <v>10.671304244049299</v>
      </c>
      <c r="AF87">
        <v>11.9460783252702</v>
      </c>
      <c r="AH87" s="7">
        <f>SBC!D86</f>
        <v>0</v>
      </c>
      <c r="AI87" s="7">
        <f t="shared" si="6"/>
        <v>47.149999999999949</v>
      </c>
      <c r="AJ87" s="7">
        <f t="shared" si="4"/>
        <v>0.156415</v>
      </c>
      <c r="AK87" s="7">
        <f t="shared" si="7"/>
        <v>47.109181</v>
      </c>
      <c r="AL87" s="7">
        <f t="shared" si="5"/>
        <v>-4.0818999999949312E-2</v>
      </c>
    </row>
    <row r="88" spans="1:38" x14ac:dyDescent="0.3">
      <c r="A88">
        <v>86</v>
      </c>
      <c r="B88">
        <v>85</v>
      </c>
      <c r="C88">
        <v>86</v>
      </c>
      <c r="D88">
        <v>1</v>
      </c>
      <c r="E88">
        <v>2147483647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 s="2">
        <v>0.38510023597915999</v>
      </c>
      <c r="M88" s="2">
        <v>3.9716268531572001E-3</v>
      </c>
      <c r="N88" s="2">
        <v>0.510069437457212</v>
      </c>
      <c r="O88" s="2">
        <v>4.5745805392210298E-3</v>
      </c>
      <c r="P88" s="2">
        <v>0.124969201478053</v>
      </c>
      <c r="Q88" s="2">
        <v>8.3288056780252303E-4</v>
      </c>
      <c r="R88" s="2">
        <v>0.33871899999999999</v>
      </c>
      <c r="S88" s="2">
        <v>3.7416706407559699E-3</v>
      </c>
      <c r="T88" s="2">
        <v>0.449737</v>
      </c>
      <c r="U88" s="2">
        <v>4.3186400737608302E-3</v>
      </c>
      <c r="V88" s="2">
        <v>0.11101800000000001</v>
      </c>
      <c r="W88" s="2">
        <v>8.0920817756277498E-4</v>
      </c>
      <c r="X88">
        <v>0</v>
      </c>
      <c r="Y88">
        <v>-1</v>
      </c>
      <c r="Z88">
        <v>-1</v>
      </c>
      <c r="AA88" s="2">
        <v>9.6401000000000001E-2</v>
      </c>
      <c r="AB88">
        <v>12.7828379572604</v>
      </c>
      <c r="AC88">
        <v>13.7805486493993</v>
      </c>
      <c r="AD88" s="2">
        <v>0.125301</v>
      </c>
      <c r="AE88">
        <v>11.5790900639185</v>
      </c>
      <c r="AF88">
        <v>12.867905038964199</v>
      </c>
      <c r="AH88" s="7">
        <f>SBC!D87</f>
        <v>0</v>
      </c>
      <c r="AI88" s="7">
        <f t="shared" si="6"/>
        <v>47.149999999999949</v>
      </c>
      <c r="AJ88" s="7">
        <f t="shared" si="4"/>
        <v>0.125301</v>
      </c>
      <c r="AK88" s="7">
        <f t="shared" si="7"/>
        <v>47.234482</v>
      </c>
      <c r="AL88" s="7">
        <f t="shared" si="5"/>
        <v>8.4482000000051016E-2</v>
      </c>
    </row>
    <row r="89" spans="1:38" x14ac:dyDescent="0.3">
      <c r="A89">
        <v>87</v>
      </c>
      <c r="B89">
        <v>86</v>
      </c>
      <c r="C89">
        <v>87</v>
      </c>
      <c r="D89">
        <v>1</v>
      </c>
      <c r="E89">
        <v>2147483647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 s="2">
        <v>0.29946721044226599</v>
      </c>
      <c r="M89" s="2">
        <v>3.4998432521555901E-3</v>
      </c>
      <c r="N89" s="2">
        <v>0.39838635773270697</v>
      </c>
      <c r="O89" s="2">
        <v>4.0478903731391899E-3</v>
      </c>
      <c r="P89" s="2">
        <v>9.8919147290439199E-2</v>
      </c>
      <c r="Q89" s="2">
        <v>7.5211846072236897E-4</v>
      </c>
      <c r="R89" s="2">
        <v>0.263264</v>
      </c>
      <c r="S89" s="2">
        <v>3.2937475542947699E-3</v>
      </c>
      <c r="T89" s="2">
        <v>0.35108800000000001</v>
      </c>
      <c r="U89" s="2">
        <v>3.81666740715789E-3</v>
      </c>
      <c r="V89" s="2">
        <v>8.7823999999999999E-2</v>
      </c>
      <c r="W89" s="2">
        <v>7.2905955644538098E-4</v>
      </c>
      <c r="X89">
        <v>0</v>
      </c>
      <c r="Y89">
        <v>-1</v>
      </c>
      <c r="Z89">
        <v>-1</v>
      </c>
      <c r="AA89" s="2">
        <v>7.5454999999999994E-2</v>
      </c>
      <c r="AB89">
        <v>13.7166440498859</v>
      </c>
      <c r="AC89">
        <v>14.7136815610081</v>
      </c>
      <c r="AD89" s="2">
        <v>9.8649000000000001E-2</v>
      </c>
      <c r="AE89">
        <v>12.499863825276501</v>
      </c>
      <c r="AF89">
        <v>13.7980628874458</v>
      </c>
      <c r="AH89" s="7">
        <f>SBC!D88</f>
        <v>0</v>
      </c>
      <c r="AI89" s="7">
        <f t="shared" si="6"/>
        <v>47.149999999999949</v>
      </c>
      <c r="AJ89" s="7">
        <f t="shared" si="4"/>
        <v>9.8649000000000001E-2</v>
      </c>
      <c r="AK89" s="7">
        <f t="shared" si="7"/>
        <v>47.333131000000002</v>
      </c>
      <c r="AL89" s="7">
        <f t="shared" si="5"/>
        <v>0.18313100000005278</v>
      </c>
    </row>
    <row r="90" spans="1:38" x14ac:dyDescent="0.3">
      <c r="A90">
        <v>88</v>
      </c>
      <c r="B90">
        <v>87</v>
      </c>
      <c r="C90">
        <v>88</v>
      </c>
      <c r="D90">
        <v>1</v>
      </c>
      <c r="E90">
        <v>2147483647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  <c r="L90" s="2">
        <v>0.23204591582595999</v>
      </c>
      <c r="M90" s="2">
        <v>3.0754186280067398E-3</v>
      </c>
      <c r="N90" s="2">
        <v>0.31029908192355399</v>
      </c>
      <c r="O90" s="2">
        <v>3.5702529618248501E-3</v>
      </c>
      <c r="P90" s="2">
        <v>7.8253166097590907E-2</v>
      </c>
      <c r="Q90" s="2">
        <v>6.7682724192216499E-4</v>
      </c>
      <c r="R90" s="2">
        <v>0.20333499999999999</v>
      </c>
      <c r="S90" s="2">
        <v>2.8892147115942399E-3</v>
      </c>
      <c r="T90" s="2">
        <v>0.27262599999999998</v>
      </c>
      <c r="U90" s="2">
        <v>3.3595678319265901E-3</v>
      </c>
      <c r="V90" s="2">
        <v>6.9291000000000005E-2</v>
      </c>
      <c r="W90" s="2">
        <v>6.5412756526270698E-4</v>
      </c>
      <c r="X90">
        <v>0</v>
      </c>
      <c r="Y90">
        <v>-1</v>
      </c>
      <c r="Z90">
        <v>-1</v>
      </c>
      <c r="AA90" s="2">
        <v>5.9929000000000003E-2</v>
      </c>
      <c r="AB90">
        <v>14.648440972044099</v>
      </c>
      <c r="AC90">
        <v>15.6505563721608</v>
      </c>
      <c r="AD90" s="2">
        <v>7.8462000000000004E-2</v>
      </c>
      <c r="AE90">
        <v>13.43697105993</v>
      </c>
      <c r="AF90">
        <v>14.740002645356499</v>
      </c>
      <c r="AH90" s="7">
        <f>SBC!D89</f>
        <v>0</v>
      </c>
      <c r="AI90" s="7">
        <f t="shared" si="6"/>
        <v>47.149999999999949</v>
      </c>
      <c r="AJ90" s="7">
        <f t="shared" si="4"/>
        <v>7.8462000000000004E-2</v>
      </c>
      <c r="AK90" s="7">
        <f t="shared" si="7"/>
        <v>47.411593000000003</v>
      </c>
      <c r="AL90" s="7">
        <f t="shared" si="5"/>
        <v>0.26159300000005459</v>
      </c>
    </row>
    <row r="91" spans="1:38" x14ac:dyDescent="0.3">
      <c r="A91">
        <v>89</v>
      </c>
      <c r="B91">
        <v>88</v>
      </c>
      <c r="C91">
        <v>89</v>
      </c>
      <c r="D91">
        <v>1</v>
      </c>
      <c r="E91">
        <v>2147483647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 s="2">
        <v>0.178989568919454</v>
      </c>
      <c r="M91" s="2">
        <v>2.6918705696662602E-3</v>
      </c>
      <c r="N91" s="2">
        <v>0.240583646762909</v>
      </c>
      <c r="O91" s="2">
        <v>3.1362601314800401E-3</v>
      </c>
      <c r="P91" s="2">
        <v>6.1594077843454199E-2</v>
      </c>
      <c r="Q91" s="2">
        <v>6.0588796177646201E-4</v>
      </c>
      <c r="R91" s="2">
        <v>0.156614</v>
      </c>
      <c r="S91" s="2">
        <v>2.5225748209438902E-3</v>
      </c>
      <c r="T91" s="2">
        <v>0.21107899999999999</v>
      </c>
      <c r="U91" s="2">
        <v>2.9445060154290798E-3</v>
      </c>
      <c r="V91" s="2">
        <v>5.4465E-2</v>
      </c>
      <c r="W91" s="2">
        <v>5.8454054243330502E-4</v>
      </c>
      <c r="X91">
        <v>0</v>
      </c>
      <c r="Y91">
        <v>-1</v>
      </c>
      <c r="Z91">
        <v>-1</v>
      </c>
      <c r="AA91" s="2">
        <v>4.6720999999999999E-2</v>
      </c>
      <c r="AB91">
        <v>15.6326038364914</v>
      </c>
      <c r="AC91">
        <v>16.6298801437046</v>
      </c>
      <c r="AD91" s="2">
        <v>6.1546999999999998E-2</v>
      </c>
      <c r="AE91">
        <v>14.3963294227978</v>
      </c>
      <c r="AF91">
        <v>15.701981263326701</v>
      </c>
      <c r="AH91" s="7">
        <f>SBC!D90</f>
        <v>0</v>
      </c>
      <c r="AI91" s="7">
        <f t="shared" si="6"/>
        <v>47.149999999999949</v>
      </c>
      <c r="AJ91" s="7">
        <f t="shared" si="4"/>
        <v>6.1546999999999998E-2</v>
      </c>
      <c r="AK91" s="7">
        <f t="shared" si="7"/>
        <v>47.473140000000001</v>
      </c>
      <c r="AL91" s="7">
        <f t="shared" si="5"/>
        <v>0.32314000000005194</v>
      </c>
    </row>
    <row r="92" spans="1:38" x14ac:dyDescent="0.3">
      <c r="A92">
        <v>90</v>
      </c>
      <c r="B92">
        <v>89</v>
      </c>
      <c r="C92">
        <v>90</v>
      </c>
      <c r="D92">
        <v>1</v>
      </c>
      <c r="E92">
        <v>2147483647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 s="2">
        <v>0.137672855250599</v>
      </c>
      <c r="M92" s="2">
        <v>2.3480606388254499E-3</v>
      </c>
      <c r="N92" s="2">
        <v>0.185907432884615</v>
      </c>
      <c r="O92" s="2">
        <v>2.74566030592269E-3</v>
      </c>
      <c r="P92" s="2">
        <v>4.8234577634017797E-2</v>
      </c>
      <c r="Q92" s="2">
        <v>5.3988485517349302E-4</v>
      </c>
      <c r="R92" s="2">
        <v>0.120214</v>
      </c>
      <c r="S92" s="2">
        <v>2.2004436904881999E-3</v>
      </c>
      <c r="T92" s="2">
        <v>0.16276099999999999</v>
      </c>
      <c r="U92" s="2">
        <v>2.57673822660132E-3</v>
      </c>
      <c r="V92" s="2">
        <v>4.2547000000000001E-2</v>
      </c>
      <c r="W92" s="2">
        <v>5.1988858674686001E-4</v>
      </c>
      <c r="X92">
        <v>0</v>
      </c>
      <c r="Y92">
        <v>-1</v>
      </c>
      <c r="Z92">
        <v>-1</v>
      </c>
      <c r="AA92" s="2">
        <v>3.6400000000000002E-2</v>
      </c>
      <c r="AB92">
        <v>16.535113678957298</v>
      </c>
      <c r="AC92">
        <v>17.5420246409527</v>
      </c>
      <c r="AD92" s="2">
        <v>4.8318E-2</v>
      </c>
      <c r="AE92">
        <v>15.293872287992601</v>
      </c>
      <c r="AF92">
        <v>16.605577870135999</v>
      </c>
      <c r="AH92" s="7">
        <f>SBC!D91</f>
        <v>0</v>
      </c>
      <c r="AI92" s="7">
        <f t="shared" si="6"/>
        <v>47.149999999999949</v>
      </c>
      <c r="AJ92" s="7">
        <f t="shared" si="4"/>
        <v>4.8318E-2</v>
      </c>
      <c r="AK92" s="7">
        <f t="shared" si="7"/>
        <v>47.521458000000003</v>
      </c>
      <c r="AL92" s="7">
        <f t="shared" si="5"/>
        <v>0.3714580000000538</v>
      </c>
    </row>
    <row r="93" spans="1:38" x14ac:dyDescent="0.3">
      <c r="A93">
        <v>91</v>
      </c>
      <c r="B93">
        <v>90</v>
      </c>
      <c r="C93">
        <v>91</v>
      </c>
      <c r="D93">
        <v>1</v>
      </c>
      <c r="E93">
        <v>2147483647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 s="2">
        <v>0.10548622200427001</v>
      </c>
      <c r="M93" s="2">
        <v>2.0482720347636198E-3</v>
      </c>
      <c r="N93" s="2">
        <v>0.14316474243640101</v>
      </c>
      <c r="O93" s="2">
        <v>2.4017790544013599E-3</v>
      </c>
      <c r="P93" s="2">
        <v>3.7678520432131199E-2</v>
      </c>
      <c r="Q93" s="2">
        <v>4.79680824119864E-4</v>
      </c>
      <c r="R93" s="2">
        <v>9.1980000000000006E-2</v>
      </c>
      <c r="S93" s="2">
        <v>1.9175862925105301E-3</v>
      </c>
      <c r="T93" s="2">
        <v>0.12511900000000001</v>
      </c>
      <c r="U93" s="2">
        <v>2.2516287917757E-3</v>
      </c>
      <c r="V93" s="2">
        <v>3.3139000000000002E-2</v>
      </c>
      <c r="W93" s="2">
        <v>4.6107205437813598E-4</v>
      </c>
      <c r="X93">
        <v>0</v>
      </c>
      <c r="Y93">
        <v>-1</v>
      </c>
      <c r="Z93">
        <v>-1</v>
      </c>
      <c r="AA93" s="2">
        <v>2.8233999999999999E-2</v>
      </c>
      <c r="AB93">
        <v>17.488326955880201</v>
      </c>
      <c r="AC93">
        <v>18.4872640846027</v>
      </c>
      <c r="AD93" s="2">
        <v>3.7642000000000002E-2</v>
      </c>
      <c r="AE93">
        <v>16.241658451067</v>
      </c>
      <c r="AF93">
        <v>17.566240836918499</v>
      </c>
      <c r="AH93" s="7">
        <f>SBC!D92</f>
        <v>0</v>
      </c>
      <c r="AI93" s="7">
        <f t="shared" si="6"/>
        <v>47.149999999999949</v>
      </c>
      <c r="AJ93" s="7">
        <f t="shared" si="4"/>
        <v>3.7642000000000002E-2</v>
      </c>
      <c r="AK93" s="7">
        <f t="shared" si="7"/>
        <v>47.559100000000001</v>
      </c>
      <c r="AL93" s="7">
        <f t="shared" si="5"/>
        <v>0.40910000000005198</v>
      </c>
    </row>
    <row r="94" spans="1:38" x14ac:dyDescent="0.3">
      <c r="A94">
        <v>92</v>
      </c>
      <c r="B94">
        <v>91</v>
      </c>
      <c r="C94">
        <v>92</v>
      </c>
      <c r="D94">
        <v>1</v>
      </c>
      <c r="E94">
        <v>2147483647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 s="2">
        <v>8.0724010760882703E-2</v>
      </c>
      <c r="M94" s="2">
        <v>1.7825103033719399E-3</v>
      </c>
      <c r="N94" s="2">
        <v>0.110012619097859</v>
      </c>
      <c r="O94" s="2">
        <v>2.0963323517350901E-3</v>
      </c>
      <c r="P94" s="2">
        <v>2.9288608336976701E-2</v>
      </c>
      <c r="Q94" s="2">
        <v>4.2480027951639898E-4</v>
      </c>
      <c r="R94" s="2">
        <v>7.0273000000000002E-2</v>
      </c>
      <c r="S94" s="2">
        <v>1.6673689589012501E-3</v>
      </c>
      <c r="T94" s="2">
        <v>9.6060000000000006E-2</v>
      </c>
      <c r="U94" s="2">
        <v>1.9634823426913999E-3</v>
      </c>
      <c r="V94" s="2">
        <v>2.5787000000000001E-2</v>
      </c>
      <c r="W94" s="2">
        <v>4.0826716209410298E-4</v>
      </c>
      <c r="X94">
        <v>0</v>
      </c>
      <c r="Y94">
        <v>-1</v>
      </c>
      <c r="Z94">
        <v>-1</v>
      </c>
      <c r="AA94" s="2">
        <v>2.1707000000000001E-2</v>
      </c>
      <c r="AB94">
        <v>18.437944817496099</v>
      </c>
      <c r="AC94">
        <v>19.448759076223801</v>
      </c>
      <c r="AD94" s="2">
        <v>2.9059000000000001E-2</v>
      </c>
      <c r="AE94">
        <v>17.168059715536501</v>
      </c>
      <c r="AF94">
        <v>18.5038400397484</v>
      </c>
      <c r="AH94" s="7">
        <f>SBC!D93</f>
        <v>0</v>
      </c>
      <c r="AI94" s="7">
        <f t="shared" si="6"/>
        <v>47.149999999999949</v>
      </c>
      <c r="AJ94" s="7">
        <f t="shared" si="4"/>
        <v>2.9059000000000001E-2</v>
      </c>
      <c r="AK94" s="7">
        <f t="shared" si="7"/>
        <v>47.588158999999997</v>
      </c>
      <c r="AL94" s="7">
        <f t="shared" si="5"/>
        <v>0.43815900000004859</v>
      </c>
    </row>
    <row r="95" spans="1:38" x14ac:dyDescent="0.3">
      <c r="A95">
        <v>93</v>
      </c>
      <c r="B95">
        <v>92</v>
      </c>
      <c r="C95">
        <v>93</v>
      </c>
      <c r="D95">
        <v>1</v>
      </c>
      <c r="E95">
        <v>2147483647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 s="2">
        <v>6.1603429379425402E-2</v>
      </c>
      <c r="M95" s="2">
        <v>1.54951856776546E-3</v>
      </c>
      <c r="N95" s="2">
        <v>8.4378406764105907E-2</v>
      </c>
      <c r="O95" s="2">
        <v>1.82723346504981E-3</v>
      </c>
      <c r="P95" s="2">
        <v>2.2774977384680602E-2</v>
      </c>
      <c r="Q95" s="2">
        <v>3.7577409300202199E-4</v>
      </c>
      <c r="R95" s="2">
        <v>5.3644999999999998E-2</v>
      </c>
      <c r="S95" s="2">
        <v>1.45007342772972E-3</v>
      </c>
      <c r="T95" s="2">
        <v>7.3606000000000005E-2</v>
      </c>
      <c r="U95" s="2">
        <v>1.7117701820713899E-3</v>
      </c>
      <c r="V95" s="2">
        <v>1.9961E-2</v>
      </c>
      <c r="W95" s="2">
        <v>3.6027149867786702E-4</v>
      </c>
      <c r="X95">
        <v>0</v>
      </c>
      <c r="Y95">
        <v>-1</v>
      </c>
      <c r="Z95">
        <v>-1</v>
      </c>
      <c r="AA95" s="2">
        <v>1.6628E-2</v>
      </c>
      <c r="AB95">
        <v>19.378057660071999</v>
      </c>
      <c r="AC95">
        <v>20.375962042564598</v>
      </c>
      <c r="AD95" s="2">
        <v>2.2454000000000002E-2</v>
      </c>
      <c r="AE95">
        <v>18.091960389643301</v>
      </c>
      <c r="AF95">
        <v>19.4445644242806</v>
      </c>
      <c r="AH95" s="7">
        <f>SBC!D94</f>
        <v>0</v>
      </c>
      <c r="AI95" s="7">
        <f t="shared" si="6"/>
        <v>47.149999999999949</v>
      </c>
      <c r="AJ95" s="7">
        <f t="shared" si="4"/>
        <v>2.2454000000000002E-2</v>
      </c>
      <c r="AK95" s="7">
        <f t="shared" si="7"/>
        <v>47.610613000000001</v>
      </c>
      <c r="AL95" s="7">
        <f t="shared" si="5"/>
        <v>0.4606130000000519</v>
      </c>
    </row>
    <row r="96" spans="1:38" x14ac:dyDescent="0.3">
      <c r="A96">
        <v>94</v>
      </c>
      <c r="B96">
        <v>93</v>
      </c>
      <c r="C96">
        <v>94</v>
      </c>
      <c r="D96">
        <v>1</v>
      </c>
      <c r="E96">
        <v>2147483647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 s="2">
        <v>4.6829702857094903E-2</v>
      </c>
      <c r="M96" s="2">
        <v>1.34342841009725E-3</v>
      </c>
      <c r="N96" s="2">
        <v>6.4373584760680794E-2</v>
      </c>
      <c r="O96" s="2">
        <v>1.58829586306667E-3</v>
      </c>
      <c r="P96" s="2">
        <v>1.7543881903585801E-2</v>
      </c>
      <c r="Q96" s="2">
        <v>3.30514757257596E-4</v>
      </c>
      <c r="R96" s="2">
        <v>4.0634000000000003E-2</v>
      </c>
      <c r="S96" s="2">
        <v>1.2532114467900799E-3</v>
      </c>
      <c r="T96" s="2">
        <v>5.6006E-2</v>
      </c>
      <c r="U96" s="2">
        <v>1.4838729280878199E-3</v>
      </c>
      <c r="V96" s="2">
        <v>1.5372E-2</v>
      </c>
      <c r="W96" s="2">
        <v>3.1689716818878301E-4</v>
      </c>
      <c r="X96">
        <v>0</v>
      </c>
      <c r="Y96">
        <v>-1</v>
      </c>
      <c r="Z96">
        <v>-1</v>
      </c>
      <c r="AA96" s="2">
        <v>1.3011E-2</v>
      </c>
      <c r="AB96">
        <v>20.377520269972202</v>
      </c>
      <c r="AC96">
        <v>21.369360572269201</v>
      </c>
      <c r="AD96" s="2">
        <v>1.7600000000000001E-2</v>
      </c>
      <c r="AE96">
        <v>19.086422423313302</v>
      </c>
      <c r="AF96">
        <v>20.431650252441301</v>
      </c>
      <c r="AH96" s="7">
        <f>SBC!D95</f>
        <v>0</v>
      </c>
      <c r="AI96" s="7">
        <f t="shared" si="6"/>
        <v>47.149999999999949</v>
      </c>
      <c r="AJ96" s="7">
        <f t="shared" si="4"/>
        <v>1.7600000000000001E-2</v>
      </c>
      <c r="AK96" s="7">
        <f t="shared" si="7"/>
        <v>47.628213000000002</v>
      </c>
      <c r="AL96" s="7">
        <f t="shared" si="5"/>
        <v>0.47821300000005351</v>
      </c>
    </row>
    <row r="97" spans="1:38" x14ac:dyDescent="0.3">
      <c r="A97">
        <v>95</v>
      </c>
      <c r="B97">
        <v>94</v>
      </c>
      <c r="C97">
        <v>95</v>
      </c>
      <c r="D97">
        <v>1</v>
      </c>
      <c r="E97">
        <v>2147483647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 s="2">
        <v>3.5347119901667702E-2</v>
      </c>
      <c r="M97" s="2">
        <v>1.1593243056722E-3</v>
      </c>
      <c r="N97" s="2">
        <v>4.8820967045676601E-2</v>
      </c>
      <c r="O97" s="2">
        <v>1.3745895104481801E-3</v>
      </c>
      <c r="P97" s="2">
        <v>1.34738471440088E-2</v>
      </c>
      <c r="Q97" s="2">
        <v>2.90171298571857E-4</v>
      </c>
      <c r="R97" s="2">
        <v>3.0568999999999999E-2</v>
      </c>
      <c r="S97" s="2">
        <v>1.08165368067972E-3</v>
      </c>
      <c r="T97" s="2">
        <v>4.2331000000000001E-2</v>
      </c>
      <c r="U97" s="2">
        <v>1.28373266546383E-3</v>
      </c>
      <c r="V97" s="2">
        <v>1.1762E-2</v>
      </c>
      <c r="W97" s="2">
        <v>2.77708032676346E-4</v>
      </c>
      <c r="X97">
        <v>0</v>
      </c>
      <c r="Y97">
        <v>-1</v>
      </c>
      <c r="Z97">
        <v>-1</v>
      </c>
      <c r="AA97" s="2">
        <v>1.0064999999999999E-2</v>
      </c>
      <c r="AB97">
        <v>21.279712075293698</v>
      </c>
      <c r="AC97">
        <v>22.281775993106699</v>
      </c>
      <c r="AD97" s="2">
        <v>1.3675E-2</v>
      </c>
      <c r="AE97">
        <v>20.000842230655401</v>
      </c>
      <c r="AF97">
        <v>21.351625962795101</v>
      </c>
      <c r="AH97" s="7">
        <f>SBC!D96</f>
        <v>0</v>
      </c>
      <c r="AI97" s="7">
        <f t="shared" si="6"/>
        <v>47.149999999999949</v>
      </c>
      <c r="AJ97" s="7">
        <f t="shared" si="4"/>
        <v>1.3675E-2</v>
      </c>
      <c r="AK97" s="7">
        <f t="shared" si="7"/>
        <v>47.641888000000002</v>
      </c>
      <c r="AL97" s="7">
        <f t="shared" si="5"/>
        <v>0.49188800000005273</v>
      </c>
    </row>
    <row r="98" spans="1:38" x14ac:dyDescent="0.3">
      <c r="A98">
        <v>96</v>
      </c>
      <c r="B98">
        <v>95</v>
      </c>
      <c r="C98">
        <v>96</v>
      </c>
      <c r="D98">
        <v>1</v>
      </c>
      <c r="E98">
        <v>2147483647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 s="2">
        <v>2.6585355836299601E-2</v>
      </c>
      <c r="M98" s="2">
        <v>1.0006784916745399E-3</v>
      </c>
      <c r="N98" s="2">
        <v>3.6960742601599199E-2</v>
      </c>
      <c r="O98" s="2">
        <v>1.18934446141899E-3</v>
      </c>
      <c r="P98" s="2">
        <v>1.0375386765299499E-2</v>
      </c>
      <c r="Q98" s="2">
        <v>2.5525330559138102E-4</v>
      </c>
      <c r="R98" s="2">
        <v>2.2880999999999999E-2</v>
      </c>
      <c r="S98" s="2">
        <v>9.3042527104677402E-4</v>
      </c>
      <c r="T98" s="2">
        <v>3.193E-2</v>
      </c>
      <c r="U98" s="2">
        <v>1.1072785083898599E-3</v>
      </c>
      <c r="V98" s="2">
        <v>9.0489999999999998E-3</v>
      </c>
      <c r="W98" s="2">
        <v>2.43917782887532E-4</v>
      </c>
      <c r="X98">
        <v>0</v>
      </c>
      <c r="Y98">
        <v>-1</v>
      </c>
      <c r="Z98">
        <v>-1</v>
      </c>
      <c r="AA98">
        <v>7.6880000000000004E-3</v>
      </c>
      <c r="AB98">
        <v>22.2173622535439</v>
      </c>
      <c r="AC98">
        <v>23.214695952419099</v>
      </c>
      <c r="AD98" s="2">
        <v>1.0401000000000001E-2</v>
      </c>
      <c r="AE98">
        <v>20.946278071663599</v>
      </c>
      <c r="AF98">
        <v>22.3111721294995</v>
      </c>
      <c r="AH98" s="7">
        <f>SBC!D97</f>
        <v>0</v>
      </c>
      <c r="AI98" s="7">
        <f t="shared" si="6"/>
        <v>47.149999999999949</v>
      </c>
      <c r="AJ98" s="7">
        <f t="shared" si="4"/>
        <v>1.0401000000000001E-2</v>
      </c>
      <c r="AK98" s="7">
        <f t="shared" si="7"/>
        <v>47.652289000000003</v>
      </c>
      <c r="AL98" s="7">
        <f t="shared" si="5"/>
        <v>0.50228900000005439</v>
      </c>
    </row>
    <row r="99" spans="1:38" x14ac:dyDescent="0.3">
      <c r="A99">
        <v>97</v>
      </c>
      <c r="B99">
        <v>96</v>
      </c>
      <c r="C99">
        <v>97</v>
      </c>
      <c r="D99">
        <v>1</v>
      </c>
      <c r="E99">
        <v>2147483647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 s="2">
        <v>1.9865442621903699E-2</v>
      </c>
      <c r="M99" s="2">
        <v>8.5943669754688298E-4</v>
      </c>
      <c r="N99" s="2">
        <v>2.7806029885026801E-2</v>
      </c>
      <c r="O99" s="2">
        <v>1.0243488587541099E-3</v>
      </c>
      <c r="P99" s="2">
        <v>7.9405872631231004E-3</v>
      </c>
      <c r="Q99" s="2">
        <v>2.23435932388771E-4</v>
      </c>
      <c r="R99" s="2">
        <v>1.7135999999999998E-2</v>
      </c>
      <c r="S99" s="2">
        <v>8.0084002600393797E-4</v>
      </c>
      <c r="T99" s="2">
        <v>2.4039000000000001E-2</v>
      </c>
      <c r="U99" s="2">
        <v>9.5532757279132301E-4</v>
      </c>
      <c r="V99" s="2">
        <v>6.9030000000000003E-3</v>
      </c>
      <c r="W99" s="2">
        <v>2.1327102256340699E-4</v>
      </c>
      <c r="X99">
        <v>0</v>
      </c>
      <c r="Y99">
        <v>-1</v>
      </c>
      <c r="Z99">
        <v>-1</v>
      </c>
      <c r="AA99">
        <v>5.7450000000000001E-3</v>
      </c>
      <c r="AB99">
        <v>23.1967231368372</v>
      </c>
      <c r="AC99">
        <v>24.199930239153598</v>
      </c>
      <c r="AD99">
        <v>7.8910000000000004E-3</v>
      </c>
      <c r="AE99">
        <v>21.9091620695324</v>
      </c>
      <c r="AF99">
        <v>23.2563226683598</v>
      </c>
      <c r="AH99" s="7">
        <f>SBC!D98</f>
        <v>0</v>
      </c>
      <c r="AI99" s="7">
        <f t="shared" si="6"/>
        <v>47.149999999999949</v>
      </c>
      <c r="AJ99" s="7">
        <f t="shared" si="4"/>
        <v>7.8910000000000004E-3</v>
      </c>
      <c r="AK99" s="7">
        <f t="shared" si="7"/>
        <v>47.660180000000004</v>
      </c>
      <c r="AL99" s="7">
        <f t="shared" si="5"/>
        <v>0.51018000000005514</v>
      </c>
    </row>
    <row r="100" spans="1:38" x14ac:dyDescent="0.3">
      <c r="A100">
        <v>98</v>
      </c>
      <c r="B100">
        <v>97</v>
      </c>
      <c r="C100">
        <v>98</v>
      </c>
      <c r="D100">
        <v>1</v>
      </c>
      <c r="E100">
        <v>2147483647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 s="2">
        <v>1.48808595867163E-2</v>
      </c>
      <c r="M100" s="2">
        <v>7.4054842184854497E-4</v>
      </c>
      <c r="N100" s="2">
        <v>2.0932474407355298E-2</v>
      </c>
      <c r="O100" s="2">
        <v>8.8439771629886905E-4</v>
      </c>
      <c r="P100" s="2">
        <v>6.0516148206389902E-3</v>
      </c>
      <c r="Q100" s="2">
        <v>1.9516434770102699E-4</v>
      </c>
      <c r="R100" s="2">
        <v>1.2819000000000001E-2</v>
      </c>
      <c r="S100" s="2">
        <v>6.8963313089812799E-4</v>
      </c>
      <c r="T100" s="2">
        <v>1.8098E-2</v>
      </c>
      <c r="U100" s="2">
        <v>8.2440406742001102E-4</v>
      </c>
      <c r="V100" s="2">
        <v>5.2789999999999998E-3</v>
      </c>
      <c r="W100" s="2">
        <v>1.86656687298533E-4</v>
      </c>
      <c r="X100">
        <v>0</v>
      </c>
      <c r="Y100">
        <v>-1</v>
      </c>
      <c r="Z100">
        <v>-1</v>
      </c>
      <c r="AA100" s="2">
        <v>4.3169999999999997E-3</v>
      </c>
      <c r="AB100">
        <v>24.144642934983001</v>
      </c>
      <c r="AC100">
        <v>25.159455518314399</v>
      </c>
      <c r="AD100" s="2">
        <v>5.9410000000000001E-3</v>
      </c>
      <c r="AE100">
        <v>22.843899497897599</v>
      </c>
      <c r="AF100">
        <v>24.226114921594402</v>
      </c>
      <c r="AH100" s="7">
        <f>SBC!D99</f>
        <v>0</v>
      </c>
      <c r="AI100" s="7">
        <f t="shared" si="6"/>
        <v>47.149999999999949</v>
      </c>
      <c r="AJ100" s="7">
        <f t="shared" si="4"/>
        <v>5.9410000000000001E-3</v>
      </c>
      <c r="AK100" s="7">
        <f t="shared" si="7"/>
        <v>47.666121000000004</v>
      </c>
      <c r="AL100" s="7">
        <f t="shared" si="5"/>
        <v>0.51612100000005512</v>
      </c>
    </row>
    <row r="101" spans="1:38" x14ac:dyDescent="0.3">
      <c r="A101">
        <v>99</v>
      </c>
      <c r="B101">
        <v>98</v>
      </c>
      <c r="C101">
        <v>99</v>
      </c>
      <c r="D101">
        <v>1</v>
      </c>
      <c r="E101">
        <v>2147483647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 s="2">
        <v>1.10492474048296E-2</v>
      </c>
      <c r="M101" s="2">
        <v>6.3638485960100597E-4</v>
      </c>
      <c r="N101" s="2">
        <v>1.56615183555932E-2</v>
      </c>
      <c r="O101" s="2">
        <v>7.6120122440248702E-4</v>
      </c>
      <c r="P101" s="2">
        <v>4.61227095076365E-3</v>
      </c>
      <c r="Q101" s="2">
        <v>1.70384540090386E-4</v>
      </c>
      <c r="R101" s="2">
        <v>9.4739999999999998E-3</v>
      </c>
      <c r="S101" s="2">
        <v>5.9351625484985605E-4</v>
      </c>
      <c r="T101" s="2">
        <v>1.3476E-2</v>
      </c>
      <c r="U101" s="2">
        <v>7.0987536491606005E-4</v>
      </c>
      <c r="V101" s="2">
        <v>4.0020000000000003E-3</v>
      </c>
      <c r="W101" s="2">
        <v>1.6262408083302199E-4</v>
      </c>
      <c r="X101">
        <v>0</v>
      </c>
      <c r="Y101">
        <v>-1</v>
      </c>
      <c r="Z101">
        <v>-1</v>
      </c>
      <c r="AA101">
        <v>3.3449999999999999E-3</v>
      </c>
      <c r="AB101">
        <v>25.004346114095199</v>
      </c>
      <c r="AC101">
        <v>26.000549308151299</v>
      </c>
      <c r="AD101">
        <v>4.6220000000000002E-3</v>
      </c>
      <c r="AE101">
        <v>23.7544152649618</v>
      </c>
      <c r="AF101">
        <v>25.107709700089998</v>
      </c>
      <c r="AH101" s="7">
        <f>SBC!D100</f>
        <v>0</v>
      </c>
      <c r="AI101" s="7">
        <f t="shared" si="6"/>
        <v>47.149999999999949</v>
      </c>
      <c r="AJ101" s="7">
        <f t="shared" si="4"/>
        <v>4.6220000000000002E-3</v>
      </c>
      <c r="AK101" s="7">
        <f t="shared" si="7"/>
        <v>47.670743000000002</v>
      </c>
      <c r="AL101" s="7">
        <f t="shared" si="5"/>
        <v>0.5207430000000528</v>
      </c>
    </row>
    <row r="102" spans="1:38" x14ac:dyDescent="0.3">
      <c r="A102">
        <v>100</v>
      </c>
      <c r="B102">
        <v>99</v>
      </c>
      <c r="C102">
        <v>100</v>
      </c>
      <c r="D102">
        <v>1</v>
      </c>
      <c r="E102">
        <v>2147483647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 s="2">
        <v>8.16547895624508E-3</v>
      </c>
      <c r="M102" s="2">
        <v>5.4560654436363904E-4</v>
      </c>
      <c r="N102" s="2">
        <v>1.1655579711450301E-2</v>
      </c>
      <c r="O102" s="2">
        <v>6.5365595619059703E-4</v>
      </c>
      <c r="P102" s="2">
        <v>3.4901007552053001E-3</v>
      </c>
      <c r="Q102" s="2">
        <v>1.4825877361744101E-4</v>
      </c>
      <c r="R102" s="2">
        <v>7.0159999999999997E-3</v>
      </c>
      <c r="S102" s="2">
        <v>5.0642910678307498E-4</v>
      </c>
      <c r="T102" s="2">
        <v>1.0026E-2</v>
      </c>
      <c r="U102" s="2">
        <v>6.0761994834682999E-4</v>
      </c>
      <c r="V102" s="2">
        <v>3.0100000000000001E-3</v>
      </c>
      <c r="W102" s="2">
        <v>1.41106080458565E-4</v>
      </c>
      <c r="X102">
        <v>0</v>
      </c>
      <c r="Y102">
        <v>-1</v>
      </c>
      <c r="Z102">
        <v>-1</v>
      </c>
      <c r="AA102" s="2">
        <v>2.4580000000000001E-3</v>
      </c>
      <c r="AB102">
        <v>26.1627570634435</v>
      </c>
      <c r="AC102">
        <v>27.182155236877499</v>
      </c>
      <c r="AD102" s="2">
        <v>3.4499999999999999E-3</v>
      </c>
      <c r="AE102">
        <v>24.765843582102701</v>
      </c>
      <c r="AF102">
        <v>26.183867242409601</v>
      </c>
      <c r="AH102" s="7">
        <f>SBC!D101</f>
        <v>0</v>
      </c>
      <c r="AI102" s="7">
        <f t="shared" si="6"/>
        <v>47.149999999999949</v>
      </c>
      <c r="AJ102" s="7">
        <f t="shared" si="4"/>
        <v>3.4499999999999999E-3</v>
      </c>
      <c r="AK102" s="7">
        <f t="shared" si="7"/>
        <v>47.674193000000002</v>
      </c>
      <c r="AL102" s="7">
        <f t="shared" si="5"/>
        <v>0.52419300000005364</v>
      </c>
    </row>
    <row r="103" spans="1:38" x14ac:dyDescent="0.3">
      <c r="A103" t="s">
        <v>50</v>
      </c>
    </row>
    <row r="104" spans="1:38" x14ac:dyDescent="0.3">
      <c r="A104" t="s">
        <v>43</v>
      </c>
    </row>
    <row r="105" spans="1:38" x14ac:dyDescent="0.3">
      <c r="A105" t="s">
        <v>44</v>
      </c>
    </row>
    <row r="106" spans="1:38" x14ac:dyDescent="0.3">
      <c r="A106" t="s">
        <v>45</v>
      </c>
    </row>
  </sheetData>
  <pageMargins left="0.7" right="0.7" top="0.78740157499999996" bottom="0.78740157499999996" header="0.3" footer="0.3"/>
  <ignoredErrors>
    <ignoredError sqref="AJ3:AJ4 AJ5:AJ102" formula="1"/>
  </ignoredErrors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Diagramme</vt:lpstr>
      </vt:variant>
      <vt:variant>
        <vt:i4>11</vt:i4>
      </vt:variant>
    </vt:vector>
  </HeadingPairs>
  <TitlesOfParts>
    <vt:vector size="13" baseType="lpstr">
      <vt:lpstr>SBC</vt:lpstr>
      <vt:lpstr>Simulation</vt:lpstr>
      <vt:lpstr>Input</vt:lpstr>
      <vt:lpstr>L^Q</vt:lpstr>
      <vt:lpstr>L^S</vt:lpstr>
      <vt:lpstr>L^Q, L^S</vt:lpstr>
      <vt:lpstr>X</vt:lpstr>
      <vt:lpstr>D</vt:lpstr>
      <vt:lpstr>X, D</vt:lpstr>
      <vt:lpstr>X (kum.)</vt:lpstr>
      <vt:lpstr>D (kum.)</vt:lpstr>
      <vt:lpstr>I</vt:lpstr>
      <vt:lpstr>rho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Windows-Benutzer</cp:lastModifiedBy>
  <dcterms:created xsi:type="dcterms:W3CDTF">2014-11-24T17:41:58Z</dcterms:created>
  <dcterms:modified xsi:type="dcterms:W3CDTF">2018-10-08T08:29:30Z</dcterms:modified>
</cp:coreProperties>
</file>